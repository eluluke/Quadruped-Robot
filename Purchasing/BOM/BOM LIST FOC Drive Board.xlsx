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jahrobinson/Documents/GitHub/Robot-Dog/Purchasing/BOM/"/>
    </mc:Choice>
  </mc:AlternateContent>
  <xr:revisionPtr revIDLastSave="0" documentId="13_ncr:1_{6FEA020D-FDEA-294E-A18C-09D5C51BA867}" xr6:coauthVersionLast="47" xr6:coauthVersionMax="47" xr10:uidLastSave="{00000000-0000-0000-0000-000000000000}"/>
  <bookViews>
    <workbookView xWindow="1080" yWindow="1220" windowWidth="27640" windowHeight="16620" xr2:uid="{3A4DB5C0-FC09-5F4C-A541-F46BD7668C0C}"/>
  </bookViews>
  <sheets>
    <sheet name="Sheet1" sheetId="1" r:id="rId1"/>
  </sheets>
  <definedNames>
    <definedName name="_xlnm._FilterDatabase" localSheetId="0" hidden="1">Sheet1!$D$2:$D$47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3" i="1"/>
</calcChain>
</file>

<file path=xl/sharedStrings.xml><?xml version="1.0" encoding="utf-8"?>
<sst xmlns="http://schemas.openxmlformats.org/spreadsheetml/2006/main" count="234" uniqueCount="121">
  <si>
    <t>Id</t>
  </si>
  <si>
    <t>Designator</t>
  </si>
  <si>
    <t>Footprint</t>
  </si>
  <si>
    <t>Quantity</t>
  </si>
  <si>
    <t>Designation</t>
  </si>
  <si>
    <t>Total For 12 Boards</t>
  </si>
  <si>
    <t>Total Bought</t>
  </si>
  <si>
    <t>C27,C35,C18,C34,C4,C12,C31,C33,C28,C32,C30,C3,C17,C13,C36</t>
  </si>
  <si>
    <t>C_0402_1005Metric_Pad0.74x0.62mm_HandSolder</t>
  </si>
  <si>
    <t>0.1uF</t>
  </si>
  <si>
    <t>Mouser</t>
  </si>
  <si>
    <t>C23,C25,C24,C26</t>
  </si>
  <si>
    <t>C_0805_2012Metric_Pad1.18x1.45mm_HandSolder</t>
  </si>
  <si>
    <t>10uF/35V</t>
  </si>
  <si>
    <t>R21,R24,R19,R22,R25,R18</t>
  </si>
  <si>
    <t>R_0402_1005Metric_Pad0.72x0.64mm_HandSolder</t>
  </si>
  <si>
    <t>R38</t>
  </si>
  <si>
    <t>1M</t>
  </si>
  <si>
    <t>C11</t>
  </si>
  <si>
    <t>1000pF</t>
  </si>
  <si>
    <t>R20,R23,R26</t>
  </si>
  <si>
    <t>R_2512_6332Metric_Pad1.40x3.35mm_HandSolder</t>
  </si>
  <si>
    <t>3mOhm</t>
  </si>
  <si>
    <t>C22</t>
  </si>
  <si>
    <t>470uF_10mm_Cap</t>
  </si>
  <si>
    <t>470uF</t>
  </si>
  <si>
    <t>R12,R9,R15</t>
  </si>
  <si>
    <t>1.5K</t>
  </si>
  <si>
    <t>D5,D4,D6</t>
  </si>
  <si>
    <t>D_SOD-523</t>
  </si>
  <si>
    <t>1N4148WT</t>
  </si>
  <si>
    <t>J2,J3</t>
  </si>
  <si>
    <t>PinHeader_1x03_P2.54mm_Vertical</t>
  </si>
  <si>
    <t>Conn_01x03_Pin</t>
  </si>
  <si>
    <t>L1</t>
  </si>
  <si>
    <t>INDPM5452X300N_Inductor</t>
  </si>
  <si>
    <t>6.8uH</t>
  </si>
  <si>
    <t>ME3116</t>
  </si>
  <si>
    <t>SOT95P270X145-6N_ME3116</t>
  </si>
  <si>
    <t>~</t>
  </si>
  <si>
    <t>MooMoo bought it</t>
  </si>
  <si>
    <t>X</t>
  </si>
  <si>
    <t>U1</t>
  </si>
  <si>
    <t>SOT-23-5</t>
  </si>
  <si>
    <t>ME6211C30M5</t>
  </si>
  <si>
    <t>IC2,IC1</t>
  </si>
  <si>
    <t>SOT96P237X111-3N_DIODE</t>
  </si>
  <si>
    <t>NUP2105LT1G</t>
  </si>
  <si>
    <t>R29,R30</t>
  </si>
  <si>
    <t>Q5,Q2,Q1,Q7,Q3,Q4</t>
  </si>
  <si>
    <t>CSD19502Q5B_MOSFET</t>
  </si>
  <si>
    <t>CSD19502Q5B</t>
  </si>
  <si>
    <t>R35</t>
  </si>
  <si>
    <t>R_01005_0402Metric_Pad0.57x0.30mm_HandSolder</t>
  </si>
  <si>
    <t>D1</t>
  </si>
  <si>
    <t>LED_0402_1005Metric_Pad0.77x0.64mm_HandSolder</t>
  </si>
  <si>
    <t>LED GREEN</t>
  </si>
  <si>
    <t>IC4</t>
  </si>
  <si>
    <t>QFN50P400X400X90-25N-D_Gatedriver1</t>
  </si>
  <si>
    <t>FD6288Q</t>
  </si>
  <si>
    <t>R13,R14,R10</t>
  </si>
  <si>
    <t>22K</t>
  </si>
  <si>
    <t>R8</t>
  </si>
  <si>
    <t>1K</t>
  </si>
  <si>
    <t>D2,D3</t>
  </si>
  <si>
    <t>STPS1L40M</t>
  </si>
  <si>
    <t>R31</t>
  </si>
  <si>
    <t>169K</t>
  </si>
  <si>
    <t>R37,R4</t>
  </si>
  <si>
    <t>10K</t>
  </si>
  <si>
    <t>J1,J4</t>
  </si>
  <si>
    <t>Terminator</t>
  </si>
  <si>
    <t>39-30-1042</t>
  </si>
  <si>
    <t>C21,C19,C20</t>
  </si>
  <si>
    <t>1uF/25V</t>
  </si>
  <si>
    <t>R16,R11,R17</t>
  </si>
  <si>
    <t>2.2K</t>
  </si>
  <si>
    <t>C16,C14</t>
  </si>
  <si>
    <t>10uF</t>
  </si>
  <si>
    <t>U2</t>
  </si>
  <si>
    <t>SPX3819M5-L-5-0</t>
  </si>
  <si>
    <t>R5</t>
  </si>
  <si>
    <t>510K</t>
  </si>
  <si>
    <t>DigiKey</t>
  </si>
  <si>
    <t>R34,R33</t>
  </si>
  <si>
    <t>SW1</t>
  </si>
  <si>
    <t>SW_PTS636_CNK</t>
  </si>
  <si>
    <t>PTS636 SM50J SMTR LFS</t>
  </si>
  <si>
    <t>U5</t>
  </si>
  <si>
    <t>QFN50P700X700X60-49N_STM32</t>
  </si>
  <si>
    <t>STM32G431CBU6</t>
  </si>
  <si>
    <t>R36</t>
  </si>
  <si>
    <t>4.7K</t>
  </si>
  <si>
    <t>TCAN1051HGVDR1</t>
  </si>
  <si>
    <t>SOIC127P600X175-8N_CAN</t>
  </si>
  <si>
    <t>VR1</t>
  </si>
  <si>
    <t>Trimmer_Potentiometer</t>
  </si>
  <si>
    <t>10k</t>
  </si>
  <si>
    <t>C5</t>
  </si>
  <si>
    <t>C_0603_1608Metric_Pad1.08x0.95mm_HandSolder</t>
  </si>
  <si>
    <t>C2,C1</t>
  </si>
  <si>
    <t>R32</t>
  </si>
  <si>
    <t>18K</t>
  </si>
  <si>
    <t>C15</t>
  </si>
  <si>
    <t>100pF</t>
  </si>
  <si>
    <t>U3</t>
  </si>
  <si>
    <t>Soldering Pad for BLDC motor</t>
  </si>
  <si>
    <t>Solder Pad</t>
  </si>
  <si>
    <t>Y1</t>
  </si>
  <si>
    <t>CSTNE8M00G55Z000R0_Resonator</t>
  </si>
  <si>
    <t>8MHz</t>
  </si>
  <si>
    <t>R7</t>
  </si>
  <si>
    <t>R_0603_1608Metric_Pad0.98x0.95mm_HandSolder</t>
  </si>
  <si>
    <t>R6</t>
  </si>
  <si>
    <t>14K</t>
  </si>
  <si>
    <t>AS5600</t>
  </si>
  <si>
    <t>Store Bought</t>
  </si>
  <si>
    <t>Bought?</t>
  </si>
  <si>
    <t>Percentage</t>
  </si>
  <si>
    <t>5 Boards</t>
  </si>
  <si>
    <t>Total Percentage Bought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</si>
</sst>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E5E34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0" fontId="0" fillId="0" borderId="3" xfId="0" applyNumberFormat="1" applyBorder="1"/>
    <xf numFmtId="0" fontId="2" fillId="2" borderId="0" xfId="0" applyFont="1" applyFill="1" applyBorder="1"/>
    <xf numFmtId="0" fontId="2" fillId="2" borderId="0" xfId="0" applyFont="1" applyFill="1" applyBorder="1" applyAlignment="1">
      <alignment horizontal="right"/>
    </xf>
    <xf numFmtId="0" fontId="2" fillId="0" borderId="0" xfId="0" applyFont="1" applyBorder="1"/>
    <xf numFmtId="9" fontId="2" fillId="0" borderId="0" xfId="1" applyFont="1" applyBorder="1" applyAlignment="1">
      <alignment horizontal="center"/>
    </xf>
    <xf numFmtId="0" fontId="2" fillId="0" borderId="4" xfId="0" applyFont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right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2" fillId="3" borderId="5" xfId="0" applyFont="1" applyFill="1" applyBorder="1"/>
    <xf numFmtId="0" fontId="2" fillId="3" borderId="5" xfId="0" applyFont="1" applyFill="1" applyBorder="1" applyAlignment="1">
      <alignment horizontal="right"/>
    </xf>
    <xf numFmtId="0" fontId="2" fillId="0" borderId="5" xfId="0" applyFont="1" applyBorder="1"/>
    <xf numFmtId="9" fontId="2" fillId="0" borderId="5" xfId="1" applyFont="1" applyBorder="1" applyAlignment="1">
      <alignment horizontal="center"/>
    </xf>
    <xf numFmtId="0" fontId="2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" xfId="0" applyFont="1" applyBorder="1"/>
    <xf numFmtId="0" fontId="3" fillId="0" borderId="2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5E34E"/>
      <color rgb="FFF6645D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DDC3-DD4F-EE40-B570-B98BEFC6BDE0}">
  <dimension ref="B2:L50"/>
  <sheetViews>
    <sheetView tabSelected="1" zoomScale="85" workbookViewId="0">
      <selection activeCell="N9" sqref="N9"/>
    </sheetView>
  </sheetViews>
  <sheetFormatPr baseColWidth="10" defaultRowHeight="16" x14ac:dyDescent="0.2"/>
  <cols>
    <col min="3" max="3" width="54.83203125" customWidth="1"/>
    <col min="4" max="4" width="42.83203125" customWidth="1"/>
    <col min="5" max="5" width="8.5" customWidth="1"/>
    <col min="6" max="6" width="21.83203125" customWidth="1"/>
    <col min="7" max="7" width="11.83203125" customWidth="1"/>
    <col min="8" max="8" width="17.83203125" customWidth="1"/>
    <col min="9" max="9" width="10" customWidth="1"/>
    <col min="10" max="10" width="7.83203125" customWidth="1"/>
    <col min="11" max="11" width="16" customWidth="1"/>
  </cols>
  <sheetData>
    <row r="2" spans="2:12" x14ac:dyDescent="0.2">
      <c r="B2" s="18" t="s">
        <v>0</v>
      </c>
      <c r="C2" s="21" t="s">
        <v>1</v>
      </c>
      <c r="D2" s="22" t="s">
        <v>2</v>
      </c>
      <c r="E2" s="22" t="s">
        <v>3</v>
      </c>
      <c r="F2" s="22" t="s">
        <v>4</v>
      </c>
      <c r="G2" s="22" t="s">
        <v>6</v>
      </c>
      <c r="H2" s="22" t="s">
        <v>5</v>
      </c>
      <c r="I2" s="22" t="s">
        <v>118</v>
      </c>
      <c r="J2" s="22" t="s">
        <v>119</v>
      </c>
      <c r="K2" s="22" t="s">
        <v>116</v>
      </c>
      <c r="L2" s="22" t="s">
        <v>117</v>
      </c>
    </row>
    <row r="3" spans="2:12" x14ac:dyDescent="0.2">
      <c r="B3" s="19">
        <v>1</v>
      </c>
      <c r="C3" s="4" t="s">
        <v>7</v>
      </c>
      <c r="D3" s="4" t="s">
        <v>8</v>
      </c>
      <c r="E3" s="4">
        <v>15</v>
      </c>
      <c r="F3" s="5" t="s">
        <v>9</v>
      </c>
      <c r="G3" s="6">
        <v>180</v>
      </c>
      <c r="H3" s="6">
        <v>180</v>
      </c>
      <c r="I3" s="7">
        <f>G3/H3</f>
        <v>1</v>
      </c>
      <c r="J3" s="6">
        <f>E3*5</f>
        <v>75</v>
      </c>
      <c r="K3" s="6" t="s">
        <v>10</v>
      </c>
      <c r="L3" s="8" t="s">
        <v>41</v>
      </c>
    </row>
    <row r="4" spans="2:12" x14ac:dyDescent="0.2">
      <c r="B4" s="19">
        <v>2</v>
      </c>
      <c r="C4" s="4" t="s">
        <v>11</v>
      </c>
      <c r="D4" s="4" t="s">
        <v>12</v>
      </c>
      <c r="E4" s="4">
        <v>4</v>
      </c>
      <c r="F4" s="5" t="s">
        <v>13</v>
      </c>
      <c r="G4" s="6">
        <v>48</v>
      </c>
      <c r="H4" s="6">
        <v>48</v>
      </c>
      <c r="I4" s="7">
        <f t="shared" ref="I4:I47" si="0">G4/H4</f>
        <v>1</v>
      </c>
      <c r="J4" s="6">
        <f t="shared" ref="J4:J47" si="1">E4*5</f>
        <v>20</v>
      </c>
      <c r="K4" s="6" t="s">
        <v>10</v>
      </c>
      <c r="L4" s="8" t="s">
        <v>41</v>
      </c>
    </row>
    <row r="5" spans="2:12" x14ac:dyDescent="0.2">
      <c r="B5" s="19">
        <v>3</v>
      </c>
      <c r="C5" s="4" t="s">
        <v>14</v>
      </c>
      <c r="D5" s="4" t="s">
        <v>15</v>
      </c>
      <c r="E5" s="4">
        <v>6</v>
      </c>
      <c r="F5" s="5">
        <v>22</v>
      </c>
      <c r="G5" s="6">
        <v>72</v>
      </c>
      <c r="H5" s="6">
        <v>72</v>
      </c>
      <c r="I5" s="7">
        <f t="shared" si="0"/>
        <v>1</v>
      </c>
      <c r="J5" s="6">
        <f t="shared" si="1"/>
        <v>30</v>
      </c>
      <c r="K5" s="6" t="s">
        <v>10</v>
      </c>
      <c r="L5" s="8" t="s">
        <v>41</v>
      </c>
    </row>
    <row r="6" spans="2:12" x14ac:dyDescent="0.2">
      <c r="B6" s="19">
        <v>4</v>
      </c>
      <c r="C6" s="4" t="s">
        <v>16</v>
      </c>
      <c r="D6" s="4" t="s">
        <v>15</v>
      </c>
      <c r="E6" s="4">
        <v>1</v>
      </c>
      <c r="F6" s="5" t="s">
        <v>17</v>
      </c>
      <c r="G6" s="6">
        <v>12</v>
      </c>
      <c r="H6" s="6">
        <v>12</v>
      </c>
      <c r="I6" s="7">
        <f t="shared" si="0"/>
        <v>1</v>
      </c>
      <c r="J6" s="6">
        <f t="shared" si="1"/>
        <v>5</v>
      </c>
      <c r="K6" s="6" t="s">
        <v>10</v>
      </c>
      <c r="L6" s="8" t="s">
        <v>41</v>
      </c>
    </row>
    <row r="7" spans="2:12" x14ac:dyDescent="0.2">
      <c r="B7" s="19">
        <v>5</v>
      </c>
      <c r="C7" s="4" t="s">
        <v>18</v>
      </c>
      <c r="D7" s="4" t="s">
        <v>8</v>
      </c>
      <c r="E7" s="4">
        <v>1</v>
      </c>
      <c r="F7" s="5" t="s">
        <v>19</v>
      </c>
      <c r="G7" s="6">
        <v>12</v>
      </c>
      <c r="H7" s="6">
        <v>12</v>
      </c>
      <c r="I7" s="7">
        <f t="shared" si="0"/>
        <v>1</v>
      </c>
      <c r="J7" s="6">
        <f t="shared" si="1"/>
        <v>5</v>
      </c>
      <c r="K7" s="6" t="s">
        <v>10</v>
      </c>
      <c r="L7" s="8" t="s">
        <v>41</v>
      </c>
    </row>
    <row r="8" spans="2:12" x14ac:dyDescent="0.2">
      <c r="B8" s="19">
        <v>6</v>
      </c>
      <c r="C8" s="4" t="s">
        <v>20</v>
      </c>
      <c r="D8" s="4" t="s">
        <v>21</v>
      </c>
      <c r="E8" s="4">
        <v>3</v>
      </c>
      <c r="F8" s="5" t="s">
        <v>22</v>
      </c>
      <c r="G8" s="6">
        <v>36</v>
      </c>
      <c r="H8" s="6">
        <v>36</v>
      </c>
      <c r="I8" s="7">
        <f t="shared" si="0"/>
        <v>1</v>
      </c>
      <c r="J8" s="6">
        <f t="shared" si="1"/>
        <v>15</v>
      </c>
      <c r="K8" s="6" t="s">
        <v>10</v>
      </c>
      <c r="L8" s="8" t="s">
        <v>41</v>
      </c>
    </row>
    <row r="9" spans="2:12" x14ac:dyDescent="0.2">
      <c r="B9" s="19">
        <v>7</v>
      </c>
      <c r="C9" s="4" t="s">
        <v>23</v>
      </c>
      <c r="D9" s="4" t="s">
        <v>24</v>
      </c>
      <c r="E9" s="4">
        <v>1</v>
      </c>
      <c r="F9" s="5" t="s">
        <v>25</v>
      </c>
      <c r="G9" s="6">
        <v>12</v>
      </c>
      <c r="H9" s="6">
        <v>12</v>
      </c>
      <c r="I9" s="7">
        <f t="shared" si="0"/>
        <v>1</v>
      </c>
      <c r="J9" s="6">
        <f t="shared" si="1"/>
        <v>5</v>
      </c>
      <c r="K9" s="6" t="s">
        <v>10</v>
      </c>
      <c r="L9" s="8" t="s">
        <v>41</v>
      </c>
    </row>
    <row r="10" spans="2:12" x14ac:dyDescent="0.2">
      <c r="B10" s="19">
        <v>8</v>
      </c>
      <c r="C10" s="4" t="s">
        <v>26</v>
      </c>
      <c r="D10" s="4" t="s">
        <v>15</v>
      </c>
      <c r="E10" s="4">
        <v>3</v>
      </c>
      <c r="F10" s="5" t="s">
        <v>27</v>
      </c>
      <c r="G10" s="6">
        <v>36</v>
      </c>
      <c r="H10" s="6">
        <v>36</v>
      </c>
      <c r="I10" s="7">
        <f t="shared" si="0"/>
        <v>1</v>
      </c>
      <c r="J10" s="6">
        <f t="shared" si="1"/>
        <v>15</v>
      </c>
      <c r="K10" s="6" t="s">
        <v>10</v>
      </c>
      <c r="L10" s="8" t="s">
        <v>41</v>
      </c>
    </row>
    <row r="11" spans="2:12" x14ac:dyDescent="0.2">
      <c r="B11" s="19">
        <v>9</v>
      </c>
      <c r="C11" s="4" t="s">
        <v>28</v>
      </c>
      <c r="D11" s="4" t="s">
        <v>29</v>
      </c>
      <c r="E11" s="4">
        <v>3</v>
      </c>
      <c r="F11" s="5" t="s">
        <v>30</v>
      </c>
      <c r="G11" s="6">
        <v>36</v>
      </c>
      <c r="H11" s="6">
        <v>36</v>
      </c>
      <c r="I11" s="7">
        <f t="shared" si="0"/>
        <v>1</v>
      </c>
      <c r="J11" s="6">
        <f t="shared" si="1"/>
        <v>15</v>
      </c>
      <c r="K11" s="6" t="s">
        <v>10</v>
      </c>
      <c r="L11" s="8" t="s">
        <v>41</v>
      </c>
    </row>
    <row r="12" spans="2:12" x14ac:dyDescent="0.2">
      <c r="B12" s="19">
        <v>10</v>
      </c>
      <c r="C12" s="4" t="s">
        <v>31</v>
      </c>
      <c r="D12" s="4" t="s">
        <v>32</v>
      </c>
      <c r="E12" s="4">
        <v>2</v>
      </c>
      <c r="F12" s="5" t="s">
        <v>33</v>
      </c>
      <c r="G12" s="6">
        <v>24</v>
      </c>
      <c r="H12" s="6">
        <v>24</v>
      </c>
      <c r="I12" s="7">
        <f t="shared" si="0"/>
        <v>1</v>
      </c>
      <c r="J12" s="6">
        <f t="shared" si="1"/>
        <v>10</v>
      </c>
      <c r="K12" s="6" t="s">
        <v>10</v>
      </c>
      <c r="L12" s="8" t="s">
        <v>41</v>
      </c>
    </row>
    <row r="13" spans="2:12" x14ac:dyDescent="0.2">
      <c r="B13" s="19">
        <v>11</v>
      </c>
      <c r="C13" s="4" t="s">
        <v>34</v>
      </c>
      <c r="D13" s="4" t="s">
        <v>35</v>
      </c>
      <c r="E13" s="4">
        <v>1</v>
      </c>
      <c r="F13" s="5" t="s">
        <v>36</v>
      </c>
      <c r="G13" s="6">
        <v>12</v>
      </c>
      <c r="H13" s="6">
        <v>12</v>
      </c>
      <c r="I13" s="7">
        <f t="shared" si="0"/>
        <v>1</v>
      </c>
      <c r="J13" s="6">
        <f t="shared" si="1"/>
        <v>5</v>
      </c>
      <c r="K13" s="6" t="s">
        <v>10</v>
      </c>
      <c r="L13" s="8" t="s">
        <v>41</v>
      </c>
    </row>
    <row r="14" spans="2:12" x14ac:dyDescent="0.2">
      <c r="B14" s="19">
        <v>12</v>
      </c>
      <c r="C14" s="9" t="s">
        <v>37</v>
      </c>
      <c r="D14" s="9" t="s">
        <v>38</v>
      </c>
      <c r="E14" s="9">
        <v>1</v>
      </c>
      <c r="F14" s="10" t="s">
        <v>37</v>
      </c>
      <c r="G14" s="6">
        <v>10</v>
      </c>
      <c r="H14" s="6">
        <v>12</v>
      </c>
      <c r="I14" s="7">
        <f t="shared" si="0"/>
        <v>0.83333333333333337</v>
      </c>
      <c r="J14" s="6">
        <f t="shared" si="1"/>
        <v>5</v>
      </c>
      <c r="K14" s="6" t="s">
        <v>40</v>
      </c>
      <c r="L14" s="8" t="s">
        <v>41</v>
      </c>
    </row>
    <row r="15" spans="2:12" x14ac:dyDescent="0.2">
      <c r="B15" s="19">
        <v>13</v>
      </c>
      <c r="C15" s="9" t="s">
        <v>42</v>
      </c>
      <c r="D15" s="9" t="s">
        <v>43</v>
      </c>
      <c r="E15" s="9">
        <v>1</v>
      </c>
      <c r="F15" s="10" t="s">
        <v>44</v>
      </c>
      <c r="G15" s="6">
        <v>10</v>
      </c>
      <c r="H15" s="6">
        <v>12</v>
      </c>
      <c r="I15" s="7">
        <f t="shared" si="0"/>
        <v>0.83333333333333337</v>
      </c>
      <c r="J15" s="6">
        <f t="shared" si="1"/>
        <v>5</v>
      </c>
      <c r="K15" s="6" t="s">
        <v>40</v>
      </c>
      <c r="L15" s="8" t="s">
        <v>41</v>
      </c>
    </row>
    <row r="16" spans="2:12" x14ac:dyDescent="0.2">
      <c r="B16" s="19">
        <v>14</v>
      </c>
      <c r="C16" s="4" t="s">
        <v>45</v>
      </c>
      <c r="D16" s="4" t="s">
        <v>46</v>
      </c>
      <c r="E16" s="4">
        <v>2</v>
      </c>
      <c r="F16" s="5" t="s">
        <v>47</v>
      </c>
      <c r="G16" s="6">
        <v>24</v>
      </c>
      <c r="H16" s="6">
        <v>24</v>
      </c>
      <c r="I16" s="7">
        <f t="shared" si="0"/>
        <v>1</v>
      </c>
      <c r="J16" s="6">
        <f t="shared" si="1"/>
        <v>10</v>
      </c>
      <c r="K16" s="6" t="s">
        <v>10</v>
      </c>
      <c r="L16" s="8" t="s">
        <v>41</v>
      </c>
    </row>
    <row r="17" spans="2:12" x14ac:dyDescent="0.2">
      <c r="B17" s="19">
        <v>15</v>
      </c>
      <c r="C17" s="4" t="s">
        <v>48</v>
      </c>
      <c r="D17" s="4" t="s">
        <v>15</v>
      </c>
      <c r="E17" s="4">
        <v>2</v>
      </c>
      <c r="F17" s="5">
        <v>0</v>
      </c>
      <c r="G17" s="6">
        <v>24</v>
      </c>
      <c r="H17" s="6">
        <v>24</v>
      </c>
      <c r="I17" s="7">
        <f t="shared" si="0"/>
        <v>1</v>
      </c>
      <c r="J17" s="6">
        <f t="shared" si="1"/>
        <v>10</v>
      </c>
      <c r="K17" s="6" t="s">
        <v>10</v>
      </c>
      <c r="L17" s="8" t="s">
        <v>41</v>
      </c>
    </row>
    <row r="18" spans="2:12" x14ac:dyDescent="0.2">
      <c r="B18" s="19">
        <v>16</v>
      </c>
      <c r="C18" s="9" t="s">
        <v>49</v>
      </c>
      <c r="D18" s="9" t="s">
        <v>50</v>
      </c>
      <c r="E18" s="9">
        <v>6</v>
      </c>
      <c r="F18" s="10" t="s">
        <v>51</v>
      </c>
      <c r="G18" s="6">
        <v>30</v>
      </c>
      <c r="H18" s="6">
        <v>72</v>
      </c>
      <c r="I18" s="7">
        <f t="shared" si="0"/>
        <v>0.41666666666666669</v>
      </c>
      <c r="J18" s="6">
        <f t="shared" si="1"/>
        <v>30</v>
      </c>
      <c r="K18" s="6" t="s">
        <v>10</v>
      </c>
      <c r="L18" s="8" t="s">
        <v>41</v>
      </c>
    </row>
    <row r="19" spans="2:12" x14ac:dyDescent="0.2">
      <c r="B19" s="19">
        <v>17</v>
      </c>
      <c r="C19" s="4" t="s">
        <v>52</v>
      </c>
      <c r="D19" s="4" t="s">
        <v>53</v>
      </c>
      <c r="E19" s="4">
        <v>1</v>
      </c>
      <c r="F19" s="5">
        <v>0</v>
      </c>
      <c r="G19" s="6">
        <v>12</v>
      </c>
      <c r="H19" s="6">
        <v>12</v>
      </c>
      <c r="I19" s="7">
        <f t="shared" si="0"/>
        <v>1</v>
      </c>
      <c r="J19" s="6">
        <f t="shared" si="1"/>
        <v>5</v>
      </c>
      <c r="K19" s="6" t="s">
        <v>10</v>
      </c>
      <c r="L19" s="8" t="s">
        <v>41</v>
      </c>
    </row>
    <row r="20" spans="2:12" x14ac:dyDescent="0.2">
      <c r="B20" s="19">
        <v>18</v>
      </c>
      <c r="C20" s="11" t="s">
        <v>54</v>
      </c>
      <c r="D20" s="11" t="s">
        <v>55</v>
      </c>
      <c r="E20" s="11">
        <v>1</v>
      </c>
      <c r="F20" s="12" t="s">
        <v>56</v>
      </c>
      <c r="G20" s="6">
        <v>12</v>
      </c>
      <c r="H20" s="6">
        <v>12</v>
      </c>
      <c r="I20" s="7">
        <f t="shared" si="0"/>
        <v>1</v>
      </c>
      <c r="J20" s="6">
        <f t="shared" si="1"/>
        <v>5</v>
      </c>
      <c r="K20" s="6" t="s">
        <v>10</v>
      </c>
      <c r="L20" s="8" t="s">
        <v>41</v>
      </c>
    </row>
    <row r="21" spans="2:12" x14ac:dyDescent="0.2">
      <c r="B21" s="19">
        <v>19</v>
      </c>
      <c r="C21" s="4" t="s">
        <v>57</v>
      </c>
      <c r="D21" s="4" t="s">
        <v>58</v>
      </c>
      <c r="E21" s="4">
        <v>1</v>
      </c>
      <c r="F21" s="5" t="s">
        <v>59</v>
      </c>
      <c r="G21" s="6">
        <v>12</v>
      </c>
      <c r="H21" s="6">
        <v>12</v>
      </c>
      <c r="I21" s="7">
        <f t="shared" si="0"/>
        <v>1</v>
      </c>
      <c r="J21" s="6">
        <f t="shared" si="1"/>
        <v>5</v>
      </c>
      <c r="K21" s="6" t="s">
        <v>40</v>
      </c>
      <c r="L21" s="8" t="s">
        <v>41</v>
      </c>
    </row>
    <row r="22" spans="2:12" x14ac:dyDescent="0.2">
      <c r="B22" s="19">
        <v>20</v>
      </c>
      <c r="C22" s="4" t="s">
        <v>60</v>
      </c>
      <c r="D22" s="4" t="s">
        <v>15</v>
      </c>
      <c r="E22" s="4">
        <v>3</v>
      </c>
      <c r="F22" s="5" t="s">
        <v>61</v>
      </c>
      <c r="G22" s="6">
        <v>36</v>
      </c>
      <c r="H22" s="6">
        <v>36</v>
      </c>
      <c r="I22" s="7">
        <f t="shared" si="0"/>
        <v>1</v>
      </c>
      <c r="J22" s="6">
        <f t="shared" si="1"/>
        <v>15</v>
      </c>
      <c r="K22" s="6" t="s">
        <v>10</v>
      </c>
      <c r="L22" s="8" t="s">
        <v>41</v>
      </c>
    </row>
    <row r="23" spans="2:12" x14ac:dyDescent="0.2">
      <c r="B23" s="19">
        <v>21</v>
      </c>
      <c r="C23" s="4" t="s">
        <v>62</v>
      </c>
      <c r="D23" s="4" t="s">
        <v>15</v>
      </c>
      <c r="E23" s="4">
        <v>1</v>
      </c>
      <c r="F23" s="5" t="s">
        <v>63</v>
      </c>
      <c r="G23" s="6">
        <v>12</v>
      </c>
      <c r="H23" s="6">
        <v>12</v>
      </c>
      <c r="I23" s="7">
        <f t="shared" si="0"/>
        <v>1</v>
      </c>
      <c r="J23" s="6">
        <f t="shared" si="1"/>
        <v>5</v>
      </c>
      <c r="K23" s="6" t="s">
        <v>10</v>
      </c>
      <c r="L23" s="8" t="s">
        <v>41</v>
      </c>
    </row>
    <row r="24" spans="2:12" x14ac:dyDescent="0.2">
      <c r="B24" s="19">
        <v>22</v>
      </c>
      <c r="C24" s="4" t="s">
        <v>64</v>
      </c>
      <c r="D24" s="4" t="s">
        <v>29</v>
      </c>
      <c r="E24" s="4">
        <v>2</v>
      </c>
      <c r="F24" s="5" t="s">
        <v>65</v>
      </c>
      <c r="G24" s="6">
        <v>24</v>
      </c>
      <c r="H24" s="6">
        <v>24</v>
      </c>
      <c r="I24" s="7">
        <f t="shared" si="0"/>
        <v>1</v>
      </c>
      <c r="J24" s="6">
        <f t="shared" si="1"/>
        <v>10</v>
      </c>
      <c r="K24" s="6" t="s">
        <v>10</v>
      </c>
      <c r="L24" s="8" t="s">
        <v>41</v>
      </c>
    </row>
    <row r="25" spans="2:12" x14ac:dyDescent="0.2">
      <c r="B25" s="19">
        <v>23</v>
      </c>
      <c r="C25" s="4" t="s">
        <v>66</v>
      </c>
      <c r="D25" s="4" t="s">
        <v>15</v>
      </c>
      <c r="E25" s="4">
        <v>1</v>
      </c>
      <c r="F25" s="5" t="s">
        <v>67</v>
      </c>
      <c r="G25" s="6">
        <v>12</v>
      </c>
      <c r="H25" s="6">
        <v>12</v>
      </c>
      <c r="I25" s="7">
        <f t="shared" si="0"/>
        <v>1</v>
      </c>
      <c r="J25" s="6">
        <f t="shared" si="1"/>
        <v>5</v>
      </c>
      <c r="K25" s="6" t="s">
        <v>10</v>
      </c>
      <c r="L25" s="8" t="s">
        <v>41</v>
      </c>
    </row>
    <row r="26" spans="2:12" x14ac:dyDescent="0.2">
      <c r="B26" s="19">
        <v>24</v>
      </c>
      <c r="C26" s="4" t="s">
        <v>68</v>
      </c>
      <c r="D26" s="4" t="s">
        <v>53</v>
      </c>
      <c r="E26" s="4">
        <v>2</v>
      </c>
      <c r="F26" s="5" t="s">
        <v>69</v>
      </c>
      <c r="G26" s="6">
        <v>24</v>
      </c>
      <c r="H26" s="6">
        <v>24</v>
      </c>
      <c r="I26" s="7">
        <f t="shared" si="0"/>
        <v>1</v>
      </c>
      <c r="J26" s="6">
        <f t="shared" si="1"/>
        <v>10</v>
      </c>
      <c r="K26" s="6" t="s">
        <v>10</v>
      </c>
      <c r="L26" s="8" t="s">
        <v>41</v>
      </c>
    </row>
    <row r="27" spans="2:12" x14ac:dyDescent="0.2">
      <c r="B27" s="19">
        <v>25</v>
      </c>
      <c r="C27" s="9" t="s">
        <v>70</v>
      </c>
      <c r="D27" s="9" t="s">
        <v>71</v>
      </c>
      <c r="E27" s="9">
        <v>2</v>
      </c>
      <c r="F27" s="10" t="s">
        <v>72</v>
      </c>
      <c r="G27" s="6">
        <v>5</v>
      </c>
      <c r="H27" s="6">
        <v>24</v>
      </c>
      <c r="I27" s="7">
        <f t="shared" si="0"/>
        <v>0.20833333333333334</v>
      </c>
      <c r="J27" s="6">
        <f t="shared" si="1"/>
        <v>10</v>
      </c>
      <c r="K27" s="6" t="s">
        <v>10</v>
      </c>
      <c r="L27" s="8" t="s">
        <v>41</v>
      </c>
    </row>
    <row r="28" spans="2:12" x14ac:dyDescent="0.2">
      <c r="B28" s="19">
        <v>26</v>
      </c>
      <c r="C28" s="4" t="s">
        <v>73</v>
      </c>
      <c r="D28" s="4" t="s">
        <v>8</v>
      </c>
      <c r="E28" s="4">
        <v>3</v>
      </c>
      <c r="F28" s="5" t="s">
        <v>74</v>
      </c>
      <c r="G28" s="6">
        <v>36</v>
      </c>
      <c r="H28" s="6">
        <v>36</v>
      </c>
      <c r="I28" s="7">
        <f t="shared" si="0"/>
        <v>1</v>
      </c>
      <c r="J28" s="6">
        <f t="shared" si="1"/>
        <v>15</v>
      </c>
      <c r="K28" s="6" t="s">
        <v>10</v>
      </c>
      <c r="L28" s="8" t="s">
        <v>41</v>
      </c>
    </row>
    <row r="29" spans="2:12" x14ac:dyDescent="0.2">
      <c r="B29" s="19">
        <v>27</v>
      </c>
      <c r="C29" s="4" t="s">
        <v>75</v>
      </c>
      <c r="D29" s="4" t="s">
        <v>15</v>
      </c>
      <c r="E29" s="4">
        <v>3</v>
      </c>
      <c r="F29" s="5" t="s">
        <v>76</v>
      </c>
      <c r="G29" s="6">
        <v>36</v>
      </c>
      <c r="H29" s="6">
        <v>36</v>
      </c>
      <c r="I29" s="7">
        <f t="shared" si="0"/>
        <v>1</v>
      </c>
      <c r="J29" s="6">
        <f t="shared" si="1"/>
        <v>15</v>
      </c>
      <c r="K29" s="6" t="s">
        <v>10</v>
      </c>
      <c r="L29" s="8" t="s">
        <v>41</v>
      </c>
    </row>
    <row r="30" spans="2:12" x14ac:dyDescent="0.2">
      <c r="B30" s="19">
        <v>28</v>
      </c>
      <c r="C30" s="4" t="s">
        <v>77</v>
      </c>
      <c r="D30" s="4" t="s">
        <v>12</v>
      </c>
      <c r="E30" s="4">
        <v>2</v>
      </c>
      <c r="F30" s="5" t="s">
        <v>78</v>
      </c>
      <c r="G30" s="6">
        <v>24</v>
      </c>
      <c r="H30" s="6">
        <v>24</v>
      </c>
      <c r="I30" s="7">
        <f t="shared" si="0"/>
        <v>1</v>
      </c>
      <c r="J30" s="6">
        <f t="shared" si="1"/>
        <v>10</v>
      </c>
      <c r="K30" s="6" t="s">
        <v>10</v>
      </c>
      <c r="L30" s="8" t="s">
        <v>41</v>
      </c>
    </row>
    <row r="31" spans="2:12" x14ac:dyDescent="0.2">
      <c r="B31" s="19">
        <v>29</v>
      </c>
      <c r="C31" s="9" t="s">
        <v>79</v>
      </c>
      <c r="D31" s="9" t="s">
        <v>43</v>
      </c>
      <c r="E31" s="9">
        <v>1</v>
      </c>
      <c r="F31" s="10" t="s">
        <v>80</v>
      </c>
      <c r="G31" s="6">
        <v>10</v>
      </c>
      <c r="H31" s="6">
        <v>12</v>
      </c>
      <c r="I31" s="7">
        <f t="shared" si="0"/>
        <v>0.83333333333333337</v>
      </c>
      <c r="J31" s="6">
        <f t="shared" si="1"/>
        <v>5</v>
      </c>
      <c r="K31" s="6" t="s">
        <v>40</v>
      </c>
      <c r="L31" s="8" t="s">
        <v>41</v>
      </c>
    </row>
    <row r="32" spans="2:12" x14ac:dyDescent="0.2">
      <c r="B32" s="19">
        <v>30</v>
      </c>
      <c r="C32" s="4" t="s">
        <v>81</v>
      </c>
      <c r="D32" s="4" t="s">
        <v>53</v>
      </c>
      <c r="E32" s="4">
        <v>1</v>
      </c>
      <c r="F32" s="5" t="s">
        <v>82</v>
      </c>
      <c r="G32" s="6">
        <v>12</v>
      </c>
      <c r="H32" s="6">
        <v>12</v>
      </c>
      <c r="I32" s="7">
        <f t="shared" si="0"/>
        <v>1</v>
      </c>
      <c r="J32" s="6">
        <f t="shared" si="1"/>
        <v>5</v>
      </c>
      <c r="K32" s="6" t="s">
        <v>83</v>
      </c>
      <c r="L32" s="8" t="s">
        <v>41</v>
      </c>
    </row>
    <row r="33" spans="2:12" x14ac:dyDescent="0.2">
      <c r="B33" s="19">
        <v>31</v>
      </c>
      <c r="C33" s="4" t="s">
        <v>84</v>
      </c>
      <c r="D33" s="4" t="s">
        <v>15</v>
      </c>
      <c r="E33" s="4">
        <v>2</v>
      </c>
      <c r="F33" s="5" t="s">
        <v>69</v>
      </c>
      <c r="G33" s="6">
        <v>24</v>
      </c>
      <c r="H33" s="6">
        <v>24</v>
      </c>
      <c r="I33" s="7">
        <f t="shared" si="0"/>
        <v>1</v>
      </c>
      <c r="J33" s="6">
        <f t="shared" si="1"/>
        <v>10</v>
      </c>
      <c r="K33" s="6" t="s">
        <v>10</v>
      </c>
      <c r="L33" s="8" t="s">
        <v>41</v>
      </c>
    </row>
    <row r="34" spans="2:12" x14ac:dyDescent="0.2">
      <c r="B34" s="19">
        <v>32</v>
      </c>
      <c r="C34" s="4" t="s">
        <v>85</v>
      </c>
      <c r="D34" s="4" t="s">
        <v>86</v>
      </c>
      <c r="E34" s="4">
        <v>1</v>
      </c>
      <c r="F34" s="5" t="s">
        <v>87</v>
      </c>
      <c r="G34" s="6">
        <v>12</v>
      </c>
      <c r="H34" s="6">
        <v>12</v>
      </c>
      <c r="I34" s="7">
        <f t="shared" si="0"/>
        <v>1</v>
      </c>
      <c r="J34" s="6">
        <f t="shared" si="1"/>
        <v>5</v>
      </c>
      <c r="K34" s="6" t="s">
        <v>83</v>
      </c>
      <c r="L34" s="8" t="s">
        <v>41</v>
      </c>
    </row>
    <row r="35" spans="2:12" x14ac:dyDescent="0.2">
      <c r="B35" s="19">
        <v>33</v>
      </c>
      <c r="C35" s="4" t="s">
        <v>88</v>
      </c>
      <c r="D35" s="4" t="s">
        <v>89</v>
      </c>
      <c r="E35" s="4">
        <v>1</v>
      </c>
      <c r="F35" s="5" t="s">
        <v>90</v>
      </c>
      <c r="G35" s="6">
        <v>6</v>
      </c>
      <c r="H35" s="6">
        <v>12</v>
      </c>
      <c r="I35" s="7">
        <f t="shared" si="0"/>
        <v>0.5</v>
      </c>
      <c r="J35" s="6">
        <f t="shared" si="1"/>
        <v>5</v>
      </c>
      <c r="K35" s="6" t="s">
        <v>10</v>
      </c>
      <c r="L35" s="8" t="s">
        <v>41</v>
      </c>
    </row>
    <row r="36" spans="2:12" x14ac:dyDescent="0.2">
      <c r="B36" s="19">
        <v>34</v>
      </c>
      <c r="C36" s="4" t="s">
        <v>91</v>
      </c>
      <c r="D36" s="4" t="s">
        <v>15</v>
      </c>
      <c r="E36" s="4">
        <v>1</v>
      </c>
      <c r="F36" s="5" t="s">
        <v>92</v>
      </c>
      <c r="G36" s="6">
        <v>12</v>
      </c>
      <c r="H36" s="6">
        <v>12</v>
      </c>
      <c r="I36" s="7">
        <f t="shared" si="0"/>
        <v>1</v>
      </c>
      <c r="J36" s="6">
        <f t="shared" si="1"/>
        <v>5</v>
      </c>
      <c r="K36" s="6" t="s">
        <v>10</v>
      </c>
      <c r="L36" s="8" t="s">
        <v>41</v>
      </c>
    </row>
    <row r="37" spans="2:12" x14ac:dyDescent="0.2">
      <c r="B37" s="19">
        <v>35</v>
      </c>
      <c r="C37" s="9" t="s">
        <v>93</v>
      </c>
      <c r="D37" s="9" t="s">
        <v>94</v>
      </c>
      <c r="E37" s="9">
        <v>1</v>
      </c>
      <c r="F37" s="10" t="s">
        <v>39</v>
      </c>
      <c r="G37" s="6">
        <v>10</v>
      </c>
      <c r="H37" s="6">
        <v>12</v>
      </c>
      <c r="I37" s="7">
        <f t="shared" si="0"/>
        <v>0.83333333333333337</v>
      </c>
      <c r="J37" s="6">
        <f t="shared" si="1"/>
        <v>5</v>
      </c>
      <c r="K37" s="6" t="s">
        <v>40</v>
      </c>
      <c r="L37" s="8" t="s">
        <v>41</v>
      </c>
    </row>
    <row r="38" spans="2:12" x14ac:dyDescent="0.2">
      <c r="B38" s="19">
        <v>36</v>
      </c>
      <c r="C38" s="9" t="s">
        <v>95</v>
      </c>
      <c r="D38" s="9" t="s">
        <v>96</v>
      </c>
      <c r="E38" s="9">
        <v>1</v>
      </c>
      <c r="F38" s="10" t="s">
        <v>97</v>
      </c>
      <c r="G38" s="6">
        <v>10</v>
      </c>
      <c r="H38" s="6">
        <v>12</v>
      </c>
      <c r="I38" s="7">
        <f t="shared" si="0"/>
        <v>0.83333333333333337</v>
      </c>
      <c r="J38" s="6">
        <f t="shared" si="1"/>
        <v>5</v>
      </c>
      <c r="K38" s="6" t="s">
        <v>40</v>
      </c>
      <c r="L38" s="8" t="s">
        <v>41</v>
      </c>
    </row>
    <row r="39" spans="2:12" x14ac:dyDescent="0.2">
      <c r="B39" s="19">
        <v>37</v>
      </c>
      <c r="C39" s="4" t="s">
        <v>98</v>
      </c>
      <c r="D39" s="4" t="s">
        <v>99</v>
      </c>
      <c r="E39" s="4">
        <v>1</v>
      </c>
      <c r="F39" s="5" t="s">
        <v>13</v>
      </c>
      <c r="G39" s="6">
        <v>12</v>
      </c>
      <c r="H39" s="6">
        <v>12</v>
      </c>
      <c r="I39" s="7">
        <f t="shared" si="0"/>
        <v>1</v>
      </c>
      <c r="J39" s="6">
        <f t="shared" si="1"/>
        <v>5</v>
      </c>
      <c r="K39" s="6" t="s">
        <v>10</v>
      </c>
      <c r="L39" s="8" t="s">
        <v>41</v>
      </c>
    </row>
    <row r="40" spans="2:12" x14ac:dyDescent="0.2">
      <c r="B40" s="19">
        <v>38</v>
      </c>
      <c r="C40" s="4" t="s">
        <v>100</v>
      </c>
      <c r="D40" s="4" t="s">
        <v>8</v>
      </c>
      <c r="E40" s="4">
        <v>2</v>
      </c>
      <c r="F40" s="5" t="s">
        <v>78</v>
      </c>
      <c r="G40" s="6">
        <v>24</v>
      </c>
      <c r="H40" s="6">
        <v>24</v>
      </c>
      <c r="I40" s="7">
        <f t="shared" si="0"/>
        <v>1</v>
      </c>
      <c r="J40" s="6">
        <f t="shared" si="1"/>
        <v>10</v>
      </c>
      <c r="K40" s="6" t="s">
        <v>10</v>
      </c>
      <c r="L40" s="8" t="s">
        <v>41</v>
      </c>
    </row>
    <row r="41" spans="2:12" x14ac:dyDescent="0.2">
      <c r="B41" s="19">
        <v>39</v>
      </c>
      <c r="C41" s="4" t="s">
        <v>101</v>
      </c>
      <c r="D41" s="4" t="s">
        <v>15</v>
      </c>
      <c r="E41" s="4">
        <v>1</v>
      </c>
      <c r="F41" s="5" t="s">
        <v>102</v>
      </c>
      <c r="G41" s="6">
        <v>12</v>
      </c>
      <c r="H41" s="6">
        <v>12</v>
      </c>
      <c r="I41" s="7">
        <f t="shared" si="0"/>
        <v>1</v>
      </c>
      <c r="J41" s="6">
        <f t="shared" si="1"/>
        <v>5</v>
      </c>
      <c r="K41" s="6" t="s">
        <v>10</v>
      </c>
      <c r="L41" s="8" t="s">
        <v>41</v>
      </c>
    </row>
    <row r="42" spans="2:12" x14ac:dyDescent="0.2">
      <c r="B42" s="19">
        <v>40</v>
      </c>
      <c r="C42" s="4" t="s">
        <v>103</v>
      </c>
      <c r="D42" s="4" t="s">
        <v>99</v>
      </c>
      <c r="E42" s="4">
        <v>1</v>
      </c>
      <c r="F42" s="5" t="s">
        <v>104</v>
      </c>
      <c r="G42" s="6">
        <v>12</v>
      </c>
      <c r="H42" s="6">
        <v>12</v>
      </c>
      <c r="I42" s="7">
        <f t="shared" si="0"/>
        <v>1</v>
      </c>
      <c r="J42" s="6">
        <f t="shared" si="1"/>
        <v>5</v>
      </c>
      <c r="K42" s="6" t="s">
        <v>10</v>
      </c>
      <c r="L42" s="8" t="s">
        <v>41</v>
      </c>
    </row>
    <row r="43" spans="2:12" x14ac:dyDescent="0.2">
      <c r="B43" s="19">
        <v>41</v>
      </c>
      <c r="C43" s="4" t="s">
        <v>105</v>
      </c>
      <c r="D43" s="4" t="s">
        <v>106</v>
      </c>
      <c r="E43" s="4">
        <v>1</v>
      </c>
      <c r="F43" s="5" t="s">
        <v>107</v>
      </c>
      <c r="G43" s="6">
        <v>12</v>
      </c>
      <c r="H43" s="6">
        <v>12</v>
      </c>
      <c r="I43" s="7">
        <f t="shared" si="0"/>
        <v>1</v>
      </c>
      <c r="J43" s="6">
        <f t="shared" si="1"/>
        <v>5</v>
      </c>
      <c r="K43" s="6" t="s">
        <v>10</v>
      </c>
      <c r="L43" s="8" t="s">
        <v>41</v>
      </c>
    </row>
    <row r="44" spans="2:12" x14ac:dyDescent="0.2">
      <c r="B44" s="19">
        <v>42</v>
      </c>
      <c r="C44" s="4" t="s">
        <v>108</v>
      </c>
      <c r="D44" s="4" t="s">
        <v>109</v>
      </c>
      <c r="E44" s="4">
        <v>1</v>
      </c>
      <c r="F44" s="5" t="s">
        <v>110</v>
      </c>
      <c r="G44" s="6">
        <v>12</v>
      </c>
      <c r="H44" s="6">
        <v>12</v>
      </c>
      <c r="I44" s="7">
        <f t="shared" si="0"/>
        <v>1</v>
      </c>
      <c r="J44" s="6">
        <f t="shared" si="1"/>
        <v>5</v>
      </c>
      <c r="K44" s="6" t="s">
        <v>40</v>
      </c>
      <c r="L44" s="8" t="s">
        <v>41</v>
      </c>
    </row>
    <row r="45" spans="2:12" x14ac:dyDescent="0.2">
      <c r="B45" s="19">
        <v>43</v>
      </c>
      <c r="C45" s="4" t="s">
        <v>111</v>
      </c>
      <c r="D45" s="4" t="s">
        <v>112</v>
      </c>
      <c r="E45" s="4">
        <v>1</v>
      </c>
      <c r="F45" s="5" t="s">
        <v>17</v>
      </c>
      <c r="G45" s="6">
        <v>12</v>
      </c>
      <c r="H45" s="6">
        <v>12</v>
      </c>
      <c r="I45" s="7">
        <f t="shared" si="0"/>
        <v>1</v>
      </c>
      <c r="J45" s="6">
        <f t="shared" si="1"/>
        <v>5</v>
      </c>
      <c r="K45" s="6" t="s">
        <v>10</v>
      </c>
      <c r="L45" s="8" t="s">
        <v>41</v>
      </c>
    </row>
    <row r="46" spans="2:12" x14ac:dyDescent="0.2">
      <c r="B46" s="19">
        <v>44</v>
      </c>
      <c r="C46" s="4" t="s">
        <v>113</v>
      </c>
      <c r="D46" s="4" t="s">
        <v>15</v>
      </c>
      <c r="E46" s="4">
        <v>1</v>
      </c>
      <c r="F46" s="5" t="s">
        <v>114</v>
      </c>
      <c r="G46" s="6">
        <v>12</v>
      </c>
      <c r="H46" s="6">
        <v>12</v>
      </c>
      <c r="I46" s="7">
        <f t="shared" si="0"/>
        <v>1</v>
      </c>
      <c r="J46" s="6">
        <f t="shared" si="1"/>
        <v>5</v>
      </c>
      <c r="K46" s="6" t="s">
        <v>10</v>
      </c>
      <c r="L46" s="8" t="s">
        <v>41</v>
      </c>
    </row>
    <row r="47" spans="2:12" x14ac:dyDescent="0.2">
      <c r="B47" s="20">
        <v>45</v>
      </c>
      <c r="C47" s="13" t="s">
        <v>115</v>
      </c>
      <c r="D47" s="13" t="s">
        <v>115</v>
      </c>
      <c r="E47" s="13">
        <v>1</v>
      </c>
      <c r="F47" s="14" t="s">
        <v>39</v>
      </c>
      <c r="G47" s="15">
        <v>10</v>
      </c>
      <c r="H47" s="15">
        <v>12</v>
      </c>
      <c r="I47" s="16">
        <f t="shared" si="0"/>
        <v>0.83333333333333337</v>
      </c>
      <c r="J47" s="15">
        <f t="shared" si="1"/>
        <v>5</v>
      </c>
      <c r="K47" s="15" t="s">
        <v>40</v>
      </c>
      <c r="L47" s="17" t="s">
        <v>41</v>
      </c>
    </row>
    <row r="50" spans="7:9" x14ac:dyDescent="0.2">
      <c r="G50" s="1" t="s">
        <v>120</v>
      </c>
      <c r="H50" s="2"/>
      <c r="I50" s="3">
        <f>SUM(I3:I47)/COUNT(I3:I47)</f>
        <v>0.93611111111111123</v>
      </c>
    </row>
  </sheetData>
  <autoFilter ref="D2:D47" xr:uid="{66FCDDC3-DD4F-EE40-B570-B98BEFC6BDE0}"/>
  <mergeCells count="1">
    <mergeCell ref="G50:H50"/>
  </mergeCells>
  <conditionalFormatting sqref="D11">
    <cfRule type="colorScale" priority="7">
      <colorScale>
        <cfvo type="num" val="0"/>
        <cfvo type="num" val="$H$3"/>
        <color rgb="FFFF0000"/>
        <color theme="9" tint="0.39997558519241921"/>
      </colorScale>
    </cfRule>
  </conditionalFormatting>
  <conditionalFormatting sqref="I3:I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Robinson</dc:creator>
  <cp:lastModifiedBy>Elijah Robinson</cp:lastModifiedBy>
  <dcterms:created xsi:type="dcterms:W3CDTF">2026-02-08T04:16:24Z</dcterms:created>
  <dcterms:modified xsi:type="dcterms:W3CDTF">2026-02-11T21:08:45Z</dcterms:modified>
</cp:coreProperties>
</file>