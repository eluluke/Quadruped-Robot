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7d0fd5397d0872/Documentos/GitHub/Quadraped-Robot/Purchasing/BOM/"/>
    </mc:Choice>
  </mc:AlternateContent>
  <xr:revisionPtr revIDLastSave="227" documentId="13_ncr:1_{DC9A2B99-3C50-4547-AB8C-86AC7DE28C99}" xr6:coauthVersionLast="47" xr6:coauthVersionMax="47" xr10:uidLastSave="{DADEC4E0-32E8-4DEC-876E-D290BBB68428}"/>
  <bookViews>
    <workbookView xWindow="-110" yWindow="-110" windowWidth="25820" windowHeight="15500" activeTab="3" xr2:uid="{B7364A64-1EA0-9049-A7FC-B4FA1E16182F}"/>
  </bookViews>
  <sheets>
    <sheet name="Total Price" sheetId="4" r:id="rId1"/>
    <sheet name="Body Assembly" sheetId="6" r:id="rId2"/>
    <sheet name="Cycloidal Gearbox" sheetId="1" r:id="rId3"/>
    <sheet name="FOC PCB" sheetId="2" r:id="rId4"/>
    <sheet name="Leg Assembly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6" l="1"/>
  <c r="I2" i="6"/>
  <c r="G2" i="6"/>
  <c r="I15" i="1"/>
  <c r="I16" i="1"/>
  <c r="I17" i="1"/>
  <c r="I18" i="1"/>
  <c r="I19" i="1"/>
  <c r="I21" i="1"/>
  <c r="I22" i="1"/>
  <c r="I23" i="1"/>
  <c r="I24" i="1"/>
  <c r="I25" i="1"/>
  <c r="I26" i="1"/>
  <c r="I27" i="1"/>
  <c r="I14" i="1"/>
  <c r="G15" i="1"/>
  <c r="G16" i="1"/>
  <c r="G17" i="1"/>
  <c r="G18" i="1"/>
  <c r="G19" i="1"/>
  <c r="G20" i="1"/>
  <c r="I20" i="1" s="1"/>
  <c r="G21" i="1"/>
  <c r="G22" i="1"/>
  <c r="G23" i="1"/>
  <c r="G24" i="1"/>
  <c r="G25" i="1"/>
  <c r="G26" i="1"/>
  <c r="G27" i="1"/>
  <c r="L27" i="1" s="1"/>
  <c r="G14" i="1"/>
  <c r="G22" i="3"/>
  <c r="G23" i="3"/>
  <c r="L21" i="3"/>
  <c r="G21" i="3"/>
  <c r="G20" i="3"/>
  <c r="G17" i="3"/>
  <c r="G14" i="3"/>
  <c r="L12" i="6"/>
  <c r="C7" i="4" s="1"/>
  <c r="E7" i="4" s="1"/>
  <c r="L7" i="6"/>
  <c r="I7" i="6"/>
  <c r="G7" i="6"/>
  <c r="I12" i="6"/>
  <c r="K23" i="3"/>
  <c r="L23" i="3" s="1"/>
  <c r="I23" i="3"/>
  <c r="K22" i="3"/>
  <c r="L22" i="3" s="1"/>
  <c r="I22" i="3"/>
  <c r="K21" i="3"/>
  <c r="I21" i="3"/>
  <c r="K20" i="3"/>
  <c r="L20" i="3" s="1"/>
  <c r="I20" i="3"/>
  <c r="K19" i="3"/>
  <c r="L19" i="3" s="1"/>
  <c r="I19" i="3"/>
  <c r="K18" i="3"/>
  <c r="L18" i="3" s="1"/>
  <c r="I18" i="3"/>
  <c r="K17" i="3"/>
  <c r="L17" i="3" s="1"/>
  <c r="I17" i="3"/>
  <c r="K16" i="3"/>
  <c r="L16" i="3" s="1"/>
  <c r="I16" i="3"/>
  <c r="K15" i="3"/>
  <c r="L15" i="3" s="1"/>
  <c r="I15" i="3"/>
  <c r="K14" i="3"/>
  <c r="L14" i="3" s="1"/>
  <c r="I14" i="3"/>
  <c r="K13" i="3"/>
  <c r="L13" i="3" s="1"/>
  <c r="I13" i="3"/>
  <c r="K12" i="3"/>
  <c r="L12" i="3" s="1"/>
  <c r="I12" i="3"/>
  <c r="K11" i="3"/>
  <c r="L11" i="3" s="1"/>
  <c r="I11" i="3"/>
  <c r="K10" i="3"/>
  <c r="L10" i="3" s="1"/>
  <c r="I10" i="3"/>
  <c r="K9" i="3"/>
  <c r="L9" i="3" s="1"/>
  <c r="G9" i="3"/>
  <c r="I9" i="3" s="1"/>
  <c r="K8" i="3"/>
  <c r="G8" i="3"/>
  <c r="I8" i="3" s="1"/>
  <c r="K7" i="3"/>
  <c r="G7" i="3"/>
  <c r="I7" i="3" s="1"/>
  <c r="K6" i="3"/>
  <c r="G6" i="3"/>
  <c r="I6" i="3" s="1"/>
  <c r="K5" i="3"/>
  <c r="G5" i="3"/>
  <c r="I5" i="3" s="1"/>
  <c r="K4" i="3"/>
  <c r="L4" i="3" s="1"/>
  <c r="G4" i="3"/>
  <c r="I4" i="3" s="1"/>
  <c r="K3" i="3"/>
  <c r="L3" i="3" s="1"/>
  <c r="G3" i="3"/>
  <c r="I3" i="3" s="1"/>
  <c r="K2" i="3"/>
  <c r="G2" i="3"/>
  <c r="I2" i="3" s="1"/>
  <c r="I19" i="2"/>
  <c r="G19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1" i="1"/>
  <c r="L22" i="1"/>
  <c r="L23" i="1"/>
  <c r="L24" i="1"/>
  <c r="L25" i="1"/>
  <c r="L26" i="1"/>
  <c r="L2" i="1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J5" i="4"/>
  <c r="G34" i="2"/>
  <c r="G35" i="2"/>
  <c r="G36" i="2"/>
  <c r="G37" i="2"/>
  <c r="I37" i="2" s="1"/>
  <c r="G38" i="2"/>
  <c r="I38" i="2" s="1"/>
  <c r="G39" i="2"/>
  <c r="I39" i="2" s="1"/>
  <c r="G40" i="2"/>
  <c r="I40" i="2" s="1"/>
  <c r="I34" i="2"/>
  <c r="I35" i="2"/>
  <c r="I36" i="2"/>
  <c r="H33" i="2"/>
  <c r="H5" i="2"/>
  <c r="H32" i="2"/>
  <c r="H15" i="2"/>
  <c r="H18" i="2"/>
  <c r="H24" i="2"/>
  <c r="H6" i="2"/>
  <c r="H7" i="2"/>
  <c r="H8" i="2"/>
  <c r="H9" i="2"/>
  <c r="H10" i="2"/>
  <c r="H11" i="2"/>
  <c r="H12" i="2"/>
  <c r="H13" i="2"/>
  <c r="H14" i="2"/>
  <c r="H16" i="2"/>
  <c r="H17" i="2"/>
  <c r="H19" i="2"/>
  <c r="H20" i="2"/>
  <c r="H21" i="2"/>
  <c r="H22" i="2"/>
  <c r="H23" i="2"/>
  <c r="H25" i="2"/>
  <c r="H26" i="2"/>
  <c r="H27" i="2"/>
  <c r="H28" i="2"/>
  <c r="H29" i="2"/>
  <c r="H30" i="2"/>
  <c r="H31" i="2"/>
  <c r="H4" i="2"/>
  <c r="G4" i="2"/>
  <c r="G29" i="2"/>
  <c r="G30" i="2"/>
  <c r="G31" i="2"/>
  <c r="G32" i="2"/>
  <c r="G33" i="2"/>
  <c r="G28" i="2"/>
  <c r="I28" i="2" s="1"/>
  <c r="G22" i="2"/>
  <c r="G20" i="2"/>
  <c r="G5" i="2"/>
  <c r="G6" i="2"/>
  <c r="G7" i="2"/>
  <c r="G8" i="2"/>
  <c r="G9" i="2"/>
  <c r="G10" i="2"/>
  <c r="G11" i="2"/>
  <c r="I11" i="2" s="1"/>
  <c r="G12" i="2"/>
  <c r="I12" i="2" s="1"/>
  <c r="G13" i="2"/>
  <c r="G14" i="2"/>
  <c r="G15" i="2"/>
  <c r="G16" i="2"/>
  <c r="G17" i="2"/>
  <c r="G18" i="2"/>
  <c r="G21" i="2"/>
  <c r="G23" i="2"/>
  <c r="G24" i="2"/>
  <c r="G25" i="2"/>
  <c r="G26" i="2"/>
  <c r="G3" i="2"/>
  <c r="I3" i="2" s="1"/>
  <c r="G27" i="2"/>
  <c r="G2" i="2"/>
  <c r="I2" i="2" s="1"/>
  <c r="E5" i="4"/>
  <c r="E6" i="4"/>
  <c r="L20" i="1" l="1"/>
  <c r="L28" i="1" s="1"/>
  <c r="J2" i="4" s="1"/>
  <c r="I28" i="1"/>
  <c r="C2" i="4" s="1"/>
  <c r="E2" i="4" s="1"/>
  <c r="L5" i="3"/>
  <c r="L6" i="3"/>
  <c r="L7" i="3"/>
  <c r="L2" i="3"/>
  <c r="L8" i="3"/>
  <c r="I24" i="3"/>
  <c r="L24" i="3"/>
  <c r="J3" i="4" s="1"/>
  <c r="L41" i="2"/>
  <c r="J4" i="4" s="1"/>
  <c r="I41" i="2"/>
  <c r="I4" i="4" s="1"/>
  <c r="I5" i="2"/>
  <c r="I25" i="2"/>
  <c r="I8" i="2"/>
  <c r="I27" i="2"/>
  <c r="I16" i="2"/>
  <c r="I18" i="2"/>
  <c r="I15" i="2"/>
  <c r="I10" i="2"/>
  <c r="I9" i="2"/>
  <c r="I33" i="2"/>
  <c r="I21" i="2"/>
  <c r="I17" i="2"/>
  <c r="I7" i="2"/>
  <c r="I6" i="2"/>
  <c r="I26" i="2"/>
  <c r="I24" i="2"/>
  <c r="I32" i="2"/>
  <c r="I29" i="2"/>
  <c r="I30" i="2"/>
  <c r="I23" i="2"/>
  <c r="I31" i="2"/>
  <c r="I14" i="2"/>
  <c r="I20" i="2"/>
  <c r="I13" i="2"/>
  <c r="I22" i="2"/>
  <c r="I4" i="2"/>
  <c r="I2" i="4" l="1"/>
  <c r="I3" i="4"/>
  <c r="C3" i="4"/>
  <c r="E3" i="4" s="1"/>
  <c r="J8" i="4"/>
  <c r="I45" i="2"/>
  <c r="C4" i="4"/>
  <c r="E4" i="4" s="1"/>
  <c r="E8" i="4" s="1"/>
</calcChain>
</file>

<file path=xl/sharedStrings.xml><?xml version="1.0" encoding="utf-8"?>
<sst xmlns="http://schemas.openxmlformats.org/spreadsheetml/2006/main" count="314" uniqueCount="229">
  <si>
    <t>ITEM NO.</t>
  </si>
  <si>
    <t>PART NUMBER</t>
  </si>
  <si>
    <t>DESCRIPTION</t>
  </si>
  <si>
    <t>Web Link for Purchasing</t>
  </si>
  <si>
    <t>Cost per Time Purchased($)</t>
  </si>
  <si>
    <t>Quantity Per Time Purchased (pcs &amp; kg)</t>
  </si>
  <si>
    <t>Part Unit Cost Per Purcahse($)</t>
  </si>
  <si>
    <t>QTY.</t>
  </si>
  <si>
    <t>Cost per Assembly</t>
  </si>
  <si>
    <t>Ring Gear</t>
  </si>
  <si>
    <t>https://a.co/d/0gjZemYR</t>
  </si>
  <si>
    <t>Opposite Ring Gear</t>
  </si>
  <si>
    <t>Cycloidal Gear</t>
  </si>
  <si>
    <t>Input Shaft</t>
  </si>
  <si>
    <t>Spacer Washer</t>
  </si>
  <si>
    <t>Bearing Spacer Big</t>
  </si>
  <si>
    <t>"HM155kV Motor Mount V2"</t>
  </si>
  <si>
    <t>Encoder Magnent Mount</t>
  </si>
  <si>
    <t>Shaft Coupler for HM155KV</t>
  </si>
  <si>
    <t>FOC Board Spacer</t>
  </si>
  <si>
    <t>V3 Output Shaft Opposite</t>
  </si>
  <si>
    <t>V2 Output Shaft</t>
  </si>
  <si>
    <t>"50mm*65mm*7mm Ball Bearing"</t>
  </si>
  <si>
    <t>Bearing For both Ring Gears</t>
  </si>
  <si>
    <t>https://a.co/d/0iJVO1oG</t>
  </si>
  <si>
    <t>"M3*0.5 BY 25mm Socket Head Screw"</t>
  </si>
  <si>
    <t>Screw to secure two Ring Gears together</t>
  </si>
  <si>
    <t>15mm by 24mm by 5mm Ball Bearing</t>
  </si>
  <si>
    <t>Beaing for Cycloidal Gear</t>
  </si>
  <si>
    <t>M3 by 8mm Button Head Cap Screw</t>
  </si>
  <si>
    <t>Screw for both Motor Mount and Motor Coupler connection</t>
  </si>
  <si>
    <t>M4 by 8mm Button Head Cap Screw</t>
  </si>
  <si>
    <t>Screw to secure the HM155kv onto Motor Mount</t>
  </si>
  <si>
    <t>M3 by 2.4mm Hex Nut</t>
  </si>
  <si>
    <t>Nut to secure the FOC Board</t>
  </si>
  <si>
    <t>HM-6208 motor</t>
  </si>
  <si>
    <t>Electric Motor</t>
  </si>
  <si>
    <t>https://www.hobbywingdirect.com/products/xrotor-m-6208-motor-ul</t>
  </si>
  <si>
    <t>22mm*10mm*6mm Ball Bearing</t>
  </si>
  <si>
    <t>Bearing to secure the Input Shaft</t>
  </si>
  <si>
    <t>https://a.co/d/02soELBD</t>
  </si>
  <si>
    <t>M2.5 by 25mm Socket Head Screw</t>
  </si>
  <si>
    <t>Screw to secure and strengthen the Ouput Shaft</t>
  </si>
  <si>
    <t>8mm*10mm*12mm Sleeve Bearing</t>
  </si>
  <si>
    <t>Bearing to be used at the contact of Cycloidal Gear and the Output Shaft</t>
  </si>
  <si>
    <t>https://a.co/d/0ckISucZ</t>
  </si>
  <si>
    <t>25mm*37mm*7mm Bearing</t>
  </si>
  <si>
    <t>Bearing to secure the Motor Coupler and the Input Shaft on the Output Shaft</t>
  </si>
  <si>
    <t>https://a.co/d/0cG1vUeo</t>
  </si>
  <si>
    <t>M3 by 5mm by 6mm Heat Insert</t>
  </si>
  <si>
    <t>Heat Insert Nut for screw connection</t>
  </si>
  <si>
    <t>https://a.co/d/02RLsYz4</t>
  </si>
  <si>
    <t>M2.5 by 4mm by 6mm Heat Insert</t>
  </si>
  <si>
    <t>Encoder Magnent</t>
  </si>
  <si>
    <t>Used on Encoder Magnent Mount for Position Feedback</t>
  </si>
  <si>
    <t>Total Cost Per Assembly($):</t>
  </si>
  <si>
    <t>PLA Filament</t>
  </si>
  <si>
    <t>Total Cost:</t>
  </si>
  <si>
    <t>Total Assemblies needed:</t>
  </si>
  <si>
    <t>PCB BOARD</t>
  </si>
  <si>
    <t>Printed Circuit Board</t>
  </si>
  <si>
    <t>JLCPCB</t>
  </si>
  <si>
    <t>DigiKey</t>
  </si>
  <si>
    <t>"Cost per Time Purchased($)"</t>
  </si>
  <si>
    <t>"Quantity Per Time Purchased (pcs &amp; kg)"</t>
  </si>
  <si>
    <t>"Part Unit Cost Per Purcahse($)"</t>
  </si>
  <si>
    <t>"Cost per Assembly"</t>
  </si>
  <si>
    <t>"Quadruped Thigh outer"</t>
  </si>
  <si>
    <t>3D printed PLA</t>
  </si>
  <si>
    <t>"Quadruped Thigh inner"</t>
  </si>
  <si>
    <t>"Quadruped Thigh Linkage"</t>
  </si>
  <si>
    <t>"Quadruped Leg linkage"</t>
  </si>
  <si>
    <t>"Quadruped Small Leg whole"</t>
  </si>
  <si>
    <t>"Actuator back cover for quadruped"</t>
  </si>
  <si>
    <t>"Quadruped Hip Bracket"</t>
  </si>
  <si>
    <t>Actuator back cover</t>
  </si>
  <si>
    <t>Quadruped Foot</t>
  </si>
  <si>
    <t>3D Printed TPU</t>
  </si>
  <si>
    <t>https://a.co/d/0dviCzEQ</t>
  </si>
  <si>
    <t>"50*65*7MM BALL BEARING"</t>
  </si>
  <si>
    <t>Bearing for the Actuator Cover for Quadruped</t>
  </si>
  <si>
    <t>M3*6*5 insert</t>
  </si>
  <si>
    <t>M4*0.7*25mm Shoulder Screw</t>
  </si>
  <si>
    <t>For Small Leg Linkage Connection</t>
  </si>
  <si>
    <t>M3*0.5*2.5mm Hex Nut</t>
  </si>
  <si>
    <t>For Foot Connection</t>
  </si>
  <si>
    <t>M4*0.7*55mm Countersunk Screw</t>
  </si>
  <si>
    <t>For Thigh Connection</t>
  </si>
  <si>
    <t>https://a.co/d/0ifwolvi</t>
  </si>
  <si>
    <t>"M4*4*6mm heat insert"</t>
  </si>
  <si>
    <t>Heat Insert Nut For Screw Connection</t>
  </si>
  <si>
    <t>https://a.co/d/09anQYCh</t>
  </si>
  <si>
    <t>M3*12mm Button Head Cap Screw</t>
  </si>
  <si>
    <t>5*8*6mm sleeve</t>
  </si>
  <si>
    <t>Sleeve Bearing Support for Linkage Pin connection</t>
  </si>
  <si>
    <t>https://a.co/d/05sPvYRi</t>
  </si>
  <si>
    <t>"6*19*2 thrust bearing with washer"</t>
  </si>
  <si>
    <t>Thrust Bearing Support for Linkage mechanism</t>
  </si>
  <si>
    <t>https://a.co/d/0bDdVhIm</t>
  </si>
  <si>
    <t>M4*0.7*45mm Shoulder Screw</t>
  </si>
  <si>
    <t>For Thigh-Small Leg Connection</t>
  </si>
  <si>
    <t>M4*0.7*3.2mm Hex Nut</t>
  </si>
  <si>
    <t>Hex Nut For Most Shoulder Bolt Connection</t>
  </si>
  <si>
    <t>5*8*10mm sleeve</t>
  </si>
  <si>
    <t>https://a.co/d/05cPeEqb</t>
  </si>
  <si>
    <t>Screw For Most Actuattor-Leg Components Connection</t>
  </si>
  <si>
    <t>Item</t>
  </si>
  <si>
    <t>Price</t>
  </si>
  <si>
    <t>Quantity</t>
  </si>
  <si>
    <t>Actuator</t>
  </si>
  <si>
    <t>Leg Assembly</t>
  </si>
  <si>
    <t>FOC Drive Board</t>
  </si>
  <si>
    <t>Total</t>
  </si>
  <si>
    <t>Digikey</t>
  </si>
  <si>
    <t>Resistor 22 Ohm 0402</t>
  </si>
  <si>
    <t>Capacitor 10 uF 35V 0805</t>
  </si>
  <si>
    <t>Capacitor 0.1 uF 25V 0402</t>
  </si>
  <si>
    <t>Capacitor 1 uF 25V 0402</t>
  </si>
  <si>
    <t>Capacitor 10 uF 10V 0402</t>
  </si>
  <si>
    <t>Capacitor 1000 pF 50V 0402</t>
  </si>
  <si>
    <t>Capacitor 10 uF 35V 0402</t>
  </si>
  <si>
    <t>Capacitor 100 pF 50V 0603</t>
  </si>
  <si>
    <t xml:space="preserve">Diode Standard 75V SOD523F </t>
  </si>
  <si>
    <t>1N4148WTCT-ND</t>
  </si>
  <si>
    <t>Diode Schottky 40V 1A STMITE</t>
  </si>
  <si>
    <t>STPS1L40M</t>
  </si>
  <si>
    <t>Capactior 10 uF 16V 0805</t>
  </si>
  <si>
    <t>Resistor 10K Ohm 01005</t>
  </si>
  <si>
    <t>RC0402FR-0722RL</t>
  </si>
  <si>
    <t>PFR02S-103-JNH</t>
  </si>
  <si>
    <t>Resistor 0 Ohm Jumper 01005</t>
  </si>
  <si>
    <t>ERJ-XGN0R00Y</t>
  </si>
  <si>
    <t>Resistor 1M Ohm 0402</t>
  </si>
  <si>
    <t>Resistor 1.5k Ohm 0402</t>
  </si>
  <si>
    <t>Resistor 0 Ohm jumper 0402</t>
  </si>
  <si>
    <t>Resistor 22k Ohm 0402</t>
  </si>
  <si>
    <t>ERA-2AEB223X</t>
  </si>
  <si>
    <t>Resistor 1k Ohm 0402</t>
  </si>
  <si>
    <t>RC0402JR-071KL</t>
  </si>
  <si>
    <t>Resistor 169k Ohm 0402</t>
  </si>
  <si>
    <t>RC0402FR-07169KL</t>
  </si>
  <si>
    <t>Resistor 2.2k Ohm 0402</t>
  </si>
  <si>
    <t>Resistor 10k Ohm 0402</t>
  </si>
  <si>
    <t>Resistor 4.7k Ohm 0402</t>
  </si>
  <si>
    <t>RC0402JR-074K7L</t>
  </si>
  <si>
    <t>Resistor 18k Ohm 0402</t>
  </si>
  <si>
    <t>RC0402FR-0718KL</t>
  </si>
  <si>
    <t>Resistor 14k Ohm 0402</t>
  </si>
  <si>
    <t>RC0402FR-0714KL</t>
  </si>
  <si>
    <t>Resistor 1M Ohm 0603</t>
  </si>
  <si>
    <t>RC0603FR-071ML</t>
  </si>
  <si>
    <t>Mouser</t>
  </si>
  <si>
    <t>Resistor 0.003 Ohm 2512</t>
  </si>
  <si>
    <t>PA2512FKF070R003E</t>
  </si>
  <si>
    <t>TVS Diode 24VWM 44VC SOT23-3</t>
  </si>
  <si>
    <t>NUP2105LT1G</t>
  </si>
  <si>
    <t>Capactior Aluminum 470 uF 35V</t>
  </si>
  <si>
    <t>EMZS350ARA471MHA0G</t>
  </si>
  <si>
    <t>Mosfet N-Ch 80V 100A 8VSON</t>
  </si>
  <si>
    <t>CSD19502Q5B</t>
  </si>
  <si>
    <t>STM32G431CBU6</t>
  </si>
  <si>
    <t>Main Processor</t>
  </si>
  <si>
    <t>Terminator</t>
  </si>
  <si>
    <t>39-30-1042</t>
  </si>
  <si>
    <t>GRM21BC8YA106ME11L</t>
  </si>
  <si>
    <t>CL05A105KA5NQNC</t>
  </si>
  <si>
    <t>GRM155R71H102KA01D</t>
  </si>
  <si>
    <t>GRM188R6YA106MA73D</t>
  </si>
  <si>
    <t>GRM1885C1H101JA01D</t>
  </si>
  <si>
    <t>CL21B106KOQNNNE</t>
  </si>
  <si>
    <t>CL05A104KA5NNNC</t>
  </si>
  <si>
    <t>CL05A106MP5NUNC</t>
  </si>
  <si>
    <t>RC0402FR-071ML</t>
  </si>
  <si>
    <t>RC0402FR-071K5L</t>
  </si>
  <si>
    <t>RC0402FR-070RL</t>
  </si>
  <si>
    <t>RMCF0402FT2K20</t>
  </si>
  <si>
    <t>RC0402FR-0710KL</t>
  </si>
  <si>
    <t>ME3116</t>
  </si>
  <si>
    <t>SOT95P270X145-6N_ME3116</t>
  </si>
  <si>
    <t>SOT-23-5</t>
  </si>
  <si>
    <t>ME6211C30M5</t>
  </si>
  <si>
    <t>SPX3819M5-L-5-0</t>
  </si>
  <si>
    <t>SOIC127P600X175-8N_CAN</t>
  </si>
  <si>
    <t>CAN Bus Chip</t>
  </si>
  <si>
    <t>Trimmer Potentiometer</t>
  </si>
  <si>
    <t>LCSC</t>
  </si>
  <si>
    <t>AS5600</t>
  </si>
  <si>
    <t>Magnetic Encoder</t>
  </si>
  <si>
    <t>QFN50P400X400X90-25N-D_Gatedriver1</t>
  </si>
  <si>
    <t>FD6288Q</t>
  </si>
  <si>
    <t>N/A</t>
  </si>
  <si>
    <t>Raspberry Pi Pico</t>
  </si>
  <si>
    <t>Units In Stock</t>
  </si>
  <si>
    <t>Units Needed For Complete Quadruped</t>
  </si>
  <si>
    <t>Extra Cost Needed For Complete Quadruped</t>
  </si>
  <si>
    <t>Extra Cost Needed For Complete Quadruped($):</t>
  </si>
  <si>
    <t>"Units In Stock (Non-repetitive)"</t>
  </si>
  <si>
    <t>3D Printer Filament</t>
  </si>
  <si>
    <t>Carbon Fiber Rods</t>
  </si>
  <si>
    <t>https://a.co/d/098f3vCr</t>
  </si>
  <si>
    <t>600MM Length Carbon Fiber Tube</t>
  </si>
  <si>
    <t>Body Assembly</t>
  </si>
  <si>
    <t>Funding Money</t>
  </si>
  <si>
    <t>Who</t>
  </si>
  <si>
    <t>Amount</t>
  </si>
  <si>
    <t>Chad Robinson</t>
  </si>
  <si>
    <t>https://a.co/d/09Na5hOE</t>
  </si>
  <si>
    <t>https://a.co/d/09gTfF0x</t>
  </si>
  <si>
    <t>https://a.co/d/005UyY34</t>
  </si>
  <si>
    <t>Screw For Most Gear Box-Motor Housing Connection</t>
  </si>
  <si>
    <t>Sleeve Bearing Support for Leg Linkage Pin connection</t>
  </si>
  <si>
    <t>https://a.co/d/08z1tbBh</t>
  </si>
  <si>
    <t>https://a.co/d/03sRPgfF</t>
  </si>
  <si>
    <t>https://a.co/d/09MrIxQw</t>
  </si>
  <si>
    <t>M3*16mm Socket Head Cap Screw</t>
  </si>
  <si>
    <t>https://a.co/d/0gNaFcET</t>
  </si>
  <si>
    <t>https://a.co/d/02tsqvkJ</t>
  </si>
  <si>
    <t>https://a.co/d/02je179N</t>
  </si>
  <si>
    <t>https://a.co/d/0fTSP7Vz</t>
  </si>
  <si>
    <t>https://a.co/d/09MJXPxa</t>
  </si>
  <si>
    <t>https://a.co/d/04sPH867</t>
  </si>
  <si>
    <t>https://a.co/d/0fmXszQq</t>
  </si>
  <si>
    <t>https://a.co/d/0dExNett</t>
  </si>
  <si>
    <t>Item NO.</t>
  </si>
  <si>
    <t>Total Project Cost:</t>
  </si>
  <si>
    <t>Additional Funding Needed:</t>
  </si>
  <si>
    <t>Printed Body Part</t>
  </si>
  <si>
    <t xml:space="preserve"> All printed body parts including center body, shoulder-chest, and hip supporting panels printed with PLA</t>
  </si>
  <si>
    <t>https://a.co/d/0axj8nc5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</si>
</sst>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2" fillId="0" borderId="1" xfId="2" applyBorder="1" applyAlignment="1">
      <alignment horizontal="center" vertical="center"/>
    </xf>
    <xf numFmtId="44" fontId="0" fillId="0" borderId="1" xfId="1" applyFont="1" applyBorder="1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2" applyFill="1" applyBorder="1" applyAlignment="1">
      <alignment horizontal="center" vertical="center"/>
    </xf>
    <xf numFmtId="44" fontId="0" fillId="2" borderId="1" xfId="1" applyFont="1" applyFill="1" applyBorder="1"/>
    <xf numFmtId="0" fontId="0" fillId="2" borderId="1" xfId="0" applyFill="1" applyBorder="1"/>
    <xf numFmtId="44" fontId="0" fillId="0" borderId="0" xfId="1" applyFont="1" applyFill="1" applyBorder="1"/>
    <xf numFmtId="0" fontId="0" fillId="0" borderId="0" xfId="0" applyAlignment="1">
      <alignment wrapText="1"/>
    </xf>
    <xf numFmtId="4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44" fontId="0" fillId="0" borderId="3" xfId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2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44" fontId="0" fillId="2" borderId="4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4" fontId="0" fillId="2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1" xfId="2" applyFill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44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/>
    </xf>
    <xf numFmtId="44" fontId="3" fillId="3" borderId="1" xfId="1" applyFont="1" applyFill="1" applyBorder="1" applyAlignment="1">
      <alignment horizontal="center" vertical="center"/>
    </xf>
    <xf numFmtId="44" fontId="3" fillId="3" borderId="1" xfId="0" applyNumberFormat="1" applyFont="1" applyFill="1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44" fontId="0" fillId="2" borderId="1" xfId="1" applyFont="1" applyFill="1" applyBorder="1" applyAlignment="1">
      <alignment horizontal="center" vertical="center" wrapText="1"/>
    </xf>
    <xf numFmtId="44" fontId="0" fillId="0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Fill="1"/>
  </cellXfs>
  <cellStyles count="3">
    <cellStyle name="Currency" xfId="1" builtinId="4"/>
    <cellStyle name="Hyperlink" xfId="2" builtinId="8"/>
    <cellStyle name="Normal" xfId="0" builtinId="0"/>
  </cellStyles>
  <dxfs count="5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.co/d/0axj8nc5" TargetMode="External"/><Relationship Id="rId1" Type="http://schemas.openxmlformats.org/officeDocument/2006/relationships/hyperlink" Target="https://a.co/d/098f3vC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.co/d/0dExNett" TargetMode="External"/><Relationship Id="rId13" Type="http://schemas.openxmlformats.org/officeDocument/2006/relationships/hyperlink" Target="https://a.co/d/02soELBD" TargetMode="External"/><Relationship Id="rId3" Type="http://schemas.openxmlformats.org/officeDocument/2006/relationships/hyperlink" Target="https://a.co/d/0gNaFcET" TargetMode="External"/><Relationship Id="rId7" Type="http://schemas.openxmlformats.org/officeDocument/2006/relationships/hyperlink" Target="https://a.co/d/09MJXPxa" TargetMode="External"/><Relationship Id="rId12" Type="http://schemas.openxmlformats.org/officeDocument/2006/relationships/hyperlink" Target="https://a.co/d/09MJXPxa" TargetMode="External"/><Relationship Id="rId2" Type="http://schemas.openxmlformats.org/officeDocument/2006/relationships/hyperlink" Target="https://a.co/d/0iJVO1oG" TargetMode="External"/><Relationship Id="rId1" Type="http://schemas.openxmlformats.org/officeDocument/2006/relationships/hyperlink" Target="https://a.co/d/0gjZemYR" TargetMode="External"/><Relationship Id="rId6" Type="http://schemas.openxmlformats.org/officeDocument/2006/relationships/hyperlink" Target="https://a.co/d/0fTSP7Vz" TargetMode="External"/><Relationship Id="rId11" Type="http://schemas.openxmlformats.org/officeDocument/2006/relationships/hyperlink" Target="https://a.co/d/0cG1vUeo" TargetMode="External"/><Relationship Id="rId5" Type="http://schemas.openxmlformats.org/officeDocument/2006/relationships/hyperlink" Target="https://a.co/d/02je179N" TargetMode="External"/><Relationship Id="rId15" Type="http://schemas.openxmlformats.org/officeDocument/2006/relationships/hyperlink" Target="https://a.co/d/0ckISucZ" TargetMode="External"/><Relationship Id="rId10" Type="http://schemas.openxmlformats.org/officeDocument/2006/relationships/hyperlink" Target="https://a.co/d/04sPH867" TargetMode="External"/><Relationship Id="rId4" Type="http://schemas.openxmlformats.org/officeDocument/2006/relationships/hyperlink" Target="https://a.co/d/02tsqvkJ" TargetMode="External"/><Relationship Id="rId9" Type="http://schemas.openxmlformats.org/officeDocument/2006/relationships/hyperlink" Target="https://a.co/d/0fmXszQq" TargetMode="External"/><Relationship Id="rId14" Type="http://schemas.openxmlformats.org/officeDocument/2006/relationships/hyperlink" Target="https://www.hobbywingdirect.com/products/xrotor-m-6208-motor-u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urata-electronics/GRM155R71H102KA01D/587225?s=N4IgTCBcDaIOICUCyBGArGhB2FAJFADGANICCBKAIiALoC%2BQA" TargetMode="External"/><Relationship Id="rId13" Type="http://schemas.openxmlformats.org/officeDocument/2006/relationships/hyperlink" Target="https://www.digikey.com/en/products/detail/stmicroelectronics/STPS1L40M/654560" TargetMode="External"/><Relationship Id="rId18" Type="http://schemas.openxmlformats.org/officeDocument/2006/relationships/hyperlink" Target="https://www.digikey.com/en/products/detail/yageo/RC0402FR-070RL/2827570?s=N4IgTCBcDaIEoGEAMAWJYBicC0SDsScAMiALoC%2BQA" TargetMode="External"/><Relationship Id="rId26" Type="http://schemas.openxmlformats.org/officeDocument/2006/relationships/hyperlink" Target="https://www.digikey.com/en/products/detail/yageo/RC0402FR-0714KL/726540?s=N4IgTCBcDaIEoGEAMAWJYBicC0SDsAjCgNIAyIAugL5A" TargetMode="External"/><Relationship Id="rId3" Type="http://schemas.openxmlformats.org/officeDocument/2006/relationships/hyperlink" Target="https://www.digikey.com/en/products/detail/samsung-electro-mechanics/CL05A104KA5NNNC/3886701?s=N4IgTCBcDaIMYBsAMBWAhgRiQFgNZpQDti4QBdAXyA" TargetMode="External"/><Relationship Id="rId21" Type="http://schemas.openxmlformats.org/officeDocument/2006/relationships/hyperlink" Target="https://www.digikey.com/en/products/detail/yageo/RC0402FR-07169KL/5280860?s=N4IgTCBcDaIEoGEAMAWJYBicC0SDsAjAGwCcA0gDIgC6AvkA" TargetMode="External"/><Relationship Id="rId7" Type="http://schemas.openxmlformats.org/officeDocument/2006/relationships/hyperlink" Target="https://www.digikey.com/en/products/detail/samsung-electro-mechanics/CL05A106MP5NUNC/3887108?s=N4IgTCBcDaIMYBsAMBWAhgRiQNgLYAcUA7AVyLhAF0BfIA" TargetMode="External"/><Relationship Id="rId12" Type="http://schemas.openxmlformats.org/officeDocument/2006/relationships/hyperlink" Target="https://www.digikey.com/en/products/detail/onsemi/1N4148WT/1954014" TargetMode="External"/><Relationship Id="rId17" Type="http://schemas.openxmlformats.org/officeDocument/2006/relationships/hyperlink" Target="https://www.digikey.com/en/products/detail/yageo/RC0402FR-071K5L/726519?s=N4IgTCBcDaIE4GMAMAWJYBmcC0SDsAjANYCsANiALoC%2BQA" TargetMode="External"/><Relationship Id="rId25" Type="http://schemas.openxmlformats.org/officeDocument/2006/relationships/hyperlink" Target="https://www.digikey.com/en/products/detail/yageo/RC0402FR-0718KL/726548?s=N4IgTCBcDaIEoGEAMAWJYBicC0SDsAjABwDSAMiALoC%2BQA" TargetMode="External"/><Relationship Id="rId2" Type="http://schemas.openxmlformats.org/officeDocument/2006/relationships/hyperlink" Target="https://www.mouser.com/ProductDetail/STMicroelectronics/STM32G431CBU6?qs=T3oQrply3y%252B0hTuSHQ7oqA%3D%3D" TargetMode="External"/><Relationship Id="rId16" Type="http://schemas.openxmlformats.org/officeDocument/2006/relationships/hyperlink" Target="https://www.digikey.com/en/products/detail/yageo/RC0402FR-071ML/726515?s=N4IgTCBcDaIE4GMAMAWJYBmcC0SDsAjALYA2IAugL5A" TargetMode="External"/><Relationship Id="rId20" Type="http://schemas.openxmlformats.org/officeDocument/2006/relationships/hyperlink" Target="https://www.digikey.com/en/products/detail/yageo/RC0402JR-071KL/726408" TargetMode="External"/><Relationship Id="rId29" Type="http://schemas.openxmlformats.org/officeDocument/2006/relationships/hyperlink" Target="https://www.digikey.com/en/products/detail/onsemi/NUP2105LT1G/1749081" TargetMode="External"/><Relationship Id="rId1" Type="http://schemas.openxmlformats.org/officeDocument/2006/relationships/hyperlink" Target="https://www.mouser.com/ProductDetail/Molex/39-30-1042?qs=tRPrwvvr%2FuiS4KdYFVgguA%3D%3D" TargetMode="External"/><Relationship Id="rId6" Type="http://schemas.openxmlformats.org/officeDocument/2006/relationships/hyperlink" Target="https://www.digikey.com/en/products/detail/samsung-electro-mechanics/CL05A105KA5NQNC/3887103?s=N4IgTCBcDaIMIBkAMBWAggRlQaTSgcgIr5wgC6AvkA" TargetMode="External"/><Relationship Id="rId11" Type="http://schemas.openxmlformats.org/officeDocument/2006/relationships/hyperlink" Target="https://www.digikey.com/en/products/detail/samsung-electro-mechanics/CL21B106KOQNNNE/3888530?s=N4IgTCBcDaIMIBkwEYBCyAMA2A0geQEUA5EgURAF0BfIA" TargetMode="External"/><Relationship Id="rId24" Type="http://schemas.openxmlformats.org/officeDocument/2006/relationships/hyperlink" Target="https://www.digikey.com/en/products/detail/yageo/RC0402JR-074K7L/726477?s=N4IgTCBcDaIEoGEAMAWJYBScC0SDsKA0ngDIgC6AvkA" TargetMode="External"/><Relationship Id="rId5" Type="http://schemas.openxmlformats.org/officeDocument/2006/relationships/hyperlink" Target="https://www.digikey.com/en/products/detail/yageo/RC0402FR-0722RL/726562?s=N4IgTCBcDaIEoGEAMAWJYBicC0SDsYYcAMiALoC%2BQA" TargetMode="External"/><Relationship Id="rId15" Type="http://schemas.openxmlformats.org/officeDocument/2006/relationships/hyperlink" Target="https://www.digikey.com/en/products/detail/panasonic-electronic-components/ERJ-XGN0R00Y/1978330?s=N4IgTCBcDaIKICUBSBaAGgcQHIAYE5wE0QBdAXyA" TargetMode="External"/><Relationship Id="rId23" Type="http://schemas.openxmlformats.org/officeDocument/2006/relationships/hyperlink" Target="https://www.digikey.com/en/products/detail/yageo/RC0402FR-0710KL/726523?s=N4IgTCBcDaIE4GMAMAWJYBmcC0SDsAjEgNYA2IAugL5A" TargetMode="External"/><Relationship Id="rId28" Type="http://schemas.openxmlformats.org/officeDocument/2006/relationships/hyperlink" Target="https://www.digikey.com/en/products/detail/yageo/PA2512FKF070R003E/5138657?s=N4IgTCBcDaIAoEEwFYCMYBiBpDAGA7LgEq64DMAoiALoC%2BQA" TargetMode="External"/><Relationship Id="rId10" Type="http://schemas.openxmlformats.org/officeDocument/2006/relationships/hyperlink" Target="https://www.digikey.com/en/products/detail/murata-electronics/GRM1885C1H101JA01D/586921?s=N4IgTCBcDaIOICUCyBGAHGgrAYRQCRQAYUApAQWIBEQBdAXyA" TargetMode="External"/><Relationship Id="rId19" Type="http://schemas.openxmlformats.org/officeDocument/2006/relationships/hyperlink" Target="https://www.digikey.com/en/products/detail/panasonic-electronic-components/ERA-2AEB223X/1706037?s=N4IgTCBcDaIKICUCCBaMS4CExgMwA0QBdAXyA" TargetMode="External"/><Relationship Id="rId31" Type="http://schemas.openxmlformats.org/officeDocument/2006/relationships/hyperlink" Target="https://www.digikey.com/en/products/detail/texas-instruments/CSD19502Q5B/4515772" TargetMode="External"/><Relationship Id="rId4" Type="http://schemas.openxmlformats.org/officeDocument/2006/relationships/hyperlink" Target="https://www.digikey.com/en/products/detail/murata-electronics/GRM21BC8YA106ME11L/5027590?s=N4IgTCBcDaIOICUCyYCMAhAwgDgJoEFUAGANiQFFVUAZEAXQF8g" TargetMode="External"/><Relationship Id="rId9" Type="http://schemas.openxmlformats.org/officeDocument/2006/relationships/hyperlink" Target="https://www.digikey.com/en/products/detail/murata-electronics/GRM188R6YA106MA73D/5877411?s=N4IgTCBcDaIOICUCyBGAHGhA2AmgQRQAYsk8B2AZgBEQBdAXyA" TargetMode="External"/><Relationship Id="rId14" Type="http://schemas.openxmlformats.org/officeDocument/2006/relationships/hyperlink" Target="https://www.digikey.com/en/products/detail/delta-electronics-cyntec/PFR02S-103-JNH/9761585?s=N4IgTCBcDaIAoDEBKAGMBlAtARhQZkwCkA5ACRAF0BfIA" TargetMode="External"/><Relationship Id="rId22" Type="http://schemas.openxmlformats.org/officeDocument/2006/relationships/hyperlink" Target="https://www.digikey.com/en/products/detail/stackpole-electronics-inc/RMCF0402FT2K20/2417439?s=N4IgTCBcDaIE4FsDGAzADAFjWFAXMA1mGiALoC%2BQA" TargetMode="External"/><Relationship Id="rId27" Type="http://schemas.openxmlformats.org/officeDocument/2006/relationships/hyperlink" Target="https://www.digikey.com/en/products/detail/yageo/RC0603FR-071ML/726844?s=N4IgTCBcDaIEoGEAMA2JBmAYnAtEg7AIwCyAMiALoC%2BQA" TargetMode="External"/><Relationship Id="rId30" Type="http://schemas.openxmlformats.org/officeDocument/2006/relationships/hyperlink" Target="https://www.digikey.com/en/products/detail/chemi-con/EMZS350ARA471MHA0G/8637079?s=N4IgTCBcDaIKIFkBaBlAzAVgAwEEBKOALAOwCMCAEjlgOIgC6AvkA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.co/d/09anQYCh" TargetMode="External"/><Relationship Id="rId13" Type="http://schemas.openxmlformats.org/officeDocument/2006/relationships/hyperlink" Target="https://a.co/d/03sRPgfF" TargetMode="External"/><Relationship Id="rId3" Type="http://schemas.openxmlformats.org/officeDocument/2006/relationships/hyperlink" Target="https://a.co/d/0iJVO1oG" TargetMode="External"/><Relationship Id="rId7" Type="http://schemas.openxmlformats.org/officeDocument/2006/relationships/hyperlink" Target="https://a.co/d/0ifwolvi" TargetMode="External"/><Relationship Id="rId12" Type="http://schemas.openxmlformats.org/officeDocument/2006/relationships/hyperlink" Target="https://a.co/d/08z1tbBh" TargetMode="External"/><Relationship Id="rId2" Type="http://schemas.openxmlformats.org/officeDocument/2006/relationships/hyperlink" Target="https://a.co/d/0dviCzEQ" TargetMode="External"/><Relationship Id="rId1" Type="http://schemas.openxmlformats.org/officeDocument/2006/relationships/hyperlink" Target="https://a.co/d/0gjZemYR" TargetMode="External"/><Relationship Id="rId6" Type="http://schemas.openxmlformats.org/officeDocument/2006/relationships/hyperlink" Target="https://a.co/d/09gTfF0x" TargetMode="External"/><Relationship Id="rId11" Type="http://schemas.openxmlformats.org/officeDocument/2006/relationships/hyperlink" Target="https://a.co/d/0bDdVhIm" TargetMode="External"/><Relationship Id="rId5" Type="http://schemas.openxmlformats.org/officeDocument/2006/relationships/hyperlink" Target="https://a.co/d/09Na5hOE" TargetMode="External"/><Relationship Id="rId15" Type="http://schemas.openxmlformats.org/officeDocument/2006/relationships/hyperlink" Target="https://a.co/d/09MrIxQw" TargetMode="External"/><Relationship Id="rId10" Type="http://schemas.openxmlformats.org/officeDocument/2006/relationships/hyperlink" Target="https://a.co/d/05sPvYRi" TargetMode="External"/><Relationship Id="rId4" Type="http://schemas.openxmlformats.org/officeDocument/2006/relationships/hyperlink" Target="https://a.co/d/02RLsYz4" TargetMode="External"/><Relationship Id="rId9" Type="http://schemas.openxmlformats.org/officeDocument/2006/relationships/hyperlink" Target="https://a.co/d/005UyY34" TargetMode="External"/><Relationship Id="rId14" Type="http://schemas.openxmlformats.org/officeDocument/2006/relationships/hyperlink" Target="https://a.co/d/05cPeEq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62B7-8324-4D43-A746-C69356B7E16F}">
  <dimension ref="A1:J18"/>
  <sheetViews>
    <sheetView showGridLines="0" zoomScale="125" workbookViewId="0">
      <selection activeCell="H13" sqref="H13"/>
    </sheetView>
  </sheetViews>
  <sheetFormatPr defaultColWidth="10.6640625" defaultRowHeight="16" x14ac:dyDescent="0.4"/>
  <cols>
    <col min="2" max="2" width="16.33203125" customWidth="1"/>
    <col min="8" max="8" width="15.1640625" customWidth="1"/>
  </cols>
  <sheetData>
    <row r="1" spans="1:10" x14ac:dyDescent="0.4">
      <c r="A1" s="49" t="s">
        <v>223</v>
      </c>
      <c r="B1" s="49" t="s">
        <v>106</v>
      </c>
      <c r="C1" s="49" t="s">
        <v>107</v>
      </c>
      <c r="D1" s="49" t="s">
        <v>108</v>
      </c>
      <c r="E1" s="49" t="s">
        <v>112</v>
      </c>
      <c r="F1" s="41"/>
      <c r="G1" s="49" t="s">
        <v>223</v>
      </c>
      <c r="H1" s="49" t="s">
        <v>106</v>
      </c>
      <c r="I1" s="49" t="s">
        <v>107</v>
      </c>
      <c r="J1" s="49" t="s">
        <v>112</v>
      </c>
    </row>
    <row r="2" spans="1:10" x14ac:dyDescent="0.4">
      <c r="A2" s="4">
        <v>1</v>
      </c>
      <c r="B2" s="4" t="s">
        <v>109</v>
      </c>
      <c r="C2" s="30">
        <f>'Cycloidal Gearbox'!I28</f>
        <v>83.953942499999997</v>
      </c>
      <c r="D2" s="4">
        <v>12</v>
      </c>
      <c r="E2" s="30">
        <f>C2*D2</f>
        <v>1007.44731</v>
      </c>
      <c r="F2" s="41"/>
      <c r="G2" s="4">
        <v>1</v>
      </c>
      <c r="H2" s="4" t="s">
        <v>109</v>
      </c>
      <c r="I2" s="30">
        <f>'Cycloidal Gearbox'!I28</f>
        <v>83.953942499999997</v>
      </c>
      <c r="J2" s="30">
        <f>'Cycloidal Gearbox'!L28</f>
        <v>202.56344999999999</v>
      </c>
    </row>
    <row r="3" spans="1:10" x14ac:dyDescent="0.4">
      <c r="A3" s="4">
        <v>2</v>
      </c>
      <c r="B3" s="4" t="s">
        <v>110</v>
      </c>
      <c r="C3" s="30">
        <f>'Leg Assembly'!I24</f>
        <v>45.291522000000008</v>
      </c>
      <c r="D3" s="4">
        <v>12</v>
      </c>
      <c r="E3" s="30">
        <f t="shared" ref="E3:E7" si="0">C3*D3</f>
        <v>543.49826400000006</v>
      </c>
      <c r="F3" s="41"/>
      <c r="G3" s="4">
        <v>2</v>
      </c>
      <c r="H3" s="4" t="s">
        <v>110</v>
      </c>
      <c r="I3" s="30">
        <f>'Leg Assembly'!I24</f>
        <v>45.291522000000008</v>
      </c>
      <c r="J3" s="30">
        <f>'Leg Assembly'!L24</f>
        <v>163.71478800000003</v>
      </c>
    </row>
    <row r="4" spans="1:10" x14ac:dyDescent="0.4">
      <c r="A4" s="4">
        <v>3</v>
      </c>
      <c r="B4" s="4" t="s">
        <v>111</v>
      </c>
      <c r="C4" s="30">
        <f>'FOC PCB'!I41</f>
        <v>38.513933333333327</v>
      </c>
      <c r="D4" s="4">
        <v>12</v>
      </c>
      <c r="E4" s="30">
        <f t="shared" si="0"/>
        <v>462.16719999999992</v>
      </c>
      <c r="F4" s="41"/>
      <c r="G4" s="4">
        <v>3</v>
      </c>
      <c r="H4" s="4" t="s">
        <v>111</v>
      </c>
      <c r="I4" s="30">
        <f>'FOC PCB'!I41</f>
        <v>38.513933333333327</v>
      </c>
      <c r="J4" s="30">
        <f>'FOC PCB'!L41</f>
        <v>224.22380000000001</v>
      </c>
    </row>
    <row r="5" spans="1:10" x14ac:dyDescent="0.4">
      <c r="A5" s="4">
        <v>4</v>
      </c>
      <c r="B5" s="4" t="s">
        <v>191</v>
      </c>
      <c r="C5" s="5">
        <v>8</v>
      </c>
      <c r="D5" s="4">
        <v>1</v>
      </c>
      <c r="E5" s="30">
        <f t="shared" si="0"/>
        <v>8</v>
      </c>
      <c r="F5" s="41"/>
      <c r="G5" s="4">
        <v>4</v>
      </c>
      <c r="H5" s="4" t="s">
        <v>191</v>
      </c>
      <c r="I5" s="5">
        <v>8</v>
      </c>
      <c r="J5" s="30">
        <f>1*I5</f>
        <v>8</v>
      </c>
    </row>
    <row r="6" spans="1:10" x14ac:dyDescent="0.4">
      <c r="A6" s="4">
        <v>5</v>
      </c>
      <c r="B6" s="4" t="s">
        <v>197</v>
      </c>
      <c r="C6" s="5">
        <v>15</v>
      </c>
      <c r="D6" s="4">
        <v>4</v>
      </c>
      <c r="E6" s="30">
        <f t="shared" si="0"/>
        <v>60</v>
      </c>
      <c r="F6" s="41"/>
      <c r="G6" s="4">
        <v>5</v>
      </c>
      <c r="H6" s="4"/>
      <c r="I6" s="5"/>
      <c r="J6" s="5"/>
    </row>
    <row r="7" spans="1:10" x14ac:dyDescent="0.4">
      <c r="A7" s="4">
        <v>6</v>
      </c>
      <c r="B7" s="4" t="s">
        <v>201</v>
      </c>
      <c r="C7" s="5">
        <f>'Body Assembly'!L12</f>
        <v>489.98436000000004</v>
      </c>
      <c r="D7" s="4">
        <v>1</v>
      </c>
      <c r="E7" s="30">
        <f t="shared" si="0"/>
        <v>489.98436000000004</v>
      </c>
      <c r="F7" s="41"/>
      <c r="G7" s="4">
        <v>6</v>
      </c>
      <c r="H7" s="4"/>
      <c r="I7" s="5"/>
      <c r="J7" s="5"/>
    </row>
    <row r="8" spans="1:10" x14ac:dyDescent="0.4">
      <c r="A8" s="32" t="s">
        <v>224</v>
      </c>
      <c r="B8" s="32"/>
      <c r="C8" s="32"/>
      <c r="D8" s="32"/>
      <c r="E8" s="33">
        <f>SUM(E2:E7)</f>
        <v>2571.0971340000001</v>
      </c>
      <c r="F8" s="41"/>
      <c r="G8" s="50" t="s">
        <v>225</v>
      </c>
      <c r="H8" s="51"/>
      <c r="I8" s="52"/>
      <c r="J8" s="33">
        <f>SUM(J2:J6)</f>
        <v>598.50203799999997</v>
      </c>
    </row>
    <row r="15" spans="1:10" x14ac:dyDescent="0.4">
      <c r="A15" s="18" t="s">
        <v>202</v>
      </c>
      <c r="B15" s="18"/>
      <c r="C15" s="18"/>
    </row>
    <row r="16" spans="1:10" x14ac:dyDescent="0.4">
      <c r="A16" s="17" t="s">
        <v>203</v>
      </c>
      <c r="B16" s="17"/>
      <c r="C16" s="1" t="s">
        <v>204</v>
      </c>
    </row>
    <row r="17" spans="1:3" x14ac:dyDescent="0.4">
      <c r="A17" s="17" t="s">
        <v>205</v>
      </c>
      <c r="B17" s="17"/>
      <c r="C17" s="3">
        <v>250</v>
      </c>
    </row>
    <row r="18" spans="1:3" x14ac:dyDescent="0.4">
      <c r="A18" s="1"/>
      <c r="B18" s="1"/>
      <c r="C18" s="1"/>
    </row>
  </sheetData>
  <mergeCells count="5">
    <mergeCell ref="A8:D8"/>
    <mergeCell ref="G8:I8"/>
    <mergeCell ref="A17:B17"/>
    <mergeCell ref="A16:B16"/>
    <mergeCell ref="A15:C15"/>
  </mergeCells>
  <conditionalFormatting sqref="A2:E7 G2:J7">
    <cfRule type="expression" dxfId="4" priority="2">
      <formula>MOD(ROW(),2)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EE17-54E8-714C-9FC2-0AAD6BDD2F44}">
  <dimension ref="A1:L46"/>
  <sheetViews>
    <sheetView zoomScale="94" zoomScaleNormal="100" workbookViewId="0">
      <pane ySplit="1" topLeftCell="A2" activePane="bottomLeft" state="frozen"/>
      <selection pane="bottomLeft" activeCell="L17" sqref="L17"/>
    </sheetView>
  </sheetViews>
  <sheetFormatPr defaultColWidth="10.6640625" defaultRowHeight="16" x14ac:dyDescent="0.4"/>
  <cols>
    <col min="2" max="2" width="33.33203125" customWidth="1"/>
    <col min="3" max="3" width="31.33203125" customWidth="1"/>
    <col min="4" max="4" width="57.5" customWidth="1"/>
    <col min="5" max="5" width="12.6640625" customWidth="1"/>
    <col min="6" max="6" width="17.5" customWidth="1"/>
    <col min="7" max="7" width="13.83203125" customWidth="1"/>
    <col min="11" max="11" width="13.08203125" customWidth="1"/>
    <col min="12" max="12" width="12.83203125" customWidth="1"/>
    <col min="15" max="18" width="10.83203125" customWidth="1"/>
  </cols>
  <sheetData>
    <row r="1" spans="1:12" ht="66" customHeight="1" thickBot="1" x14ac:dyDescent="0.45">
      <c r="A1" s="26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192</v>
      </c>
      <c r="K1" s="26" t="s">
        <v>193</v>
      </c>
      <c r="L1" s="26" t="s">
        <v>194</v>
      </c>
    </row>
    <row r="2" spans="1:12" ht="53.5" customHeight="1" x14ac:dyDescent="0.4">
      <c r="A2" s="6">
        <v>1</v>
      </c>
      <c r="B2" s="29" t="s">
        <v>226</v>
      </c>
      <c r="C2" s="29" t="s">
        <v>227</v>
      </c>
      <c r="D2" s="47" t="s">
        <v>228</v>
      </c>
      <c r="E2" s="7">
        <v>26.98</v>
      </c>
      <c r="F2" s="6">
        <v>2</v>
      </c>
      <c r="G2" s="7">
        <f>E2*0.741/F2</f>
        <v>9.9960900000000006</v>
      </c>
      <c r="H2" s="6">
        <v>2</v>
      </c>
      <c r="I2" s="7">
        <f>G2*H2</f>
        <v>19.992180000000001</v>
      </c>
      <c r="J2" s="6">
        <v>0</v>
      </c>
      <c r="K2" s="6">
        <v>2</v>
      </c>
      <c r="L2" s="48">
        <f>I2*K2</f>
        <v>39.984360000000002</v>
      </c>
    </row>
    <row r="3" spans="1:12" ht="25" customHeight="1" x14ac:dyDescent="0.4">
      <c r="A3" s="4">
        <v>2</v>
      </c>
      <c r="B3" s="31"/>
      <c r="C3" s="4"/>
      <c r="D3" s="4"/>
      <c r="E3" s="5"/>
      <c r="F3" s="4"/>
      <c r="G3" s="5"/>
      <c r="H3" s="4"/>
      <c r="I3" s="5"/>
      <c r="J3" s="4"/>
      <c r="K3" s="4"/>
      <c r="L3" s="30"/>
    </row>
    <row r="4" spans="1:12" ht="26" customHeight="1" x14ac:dyDescent="0.4">
      <c r="A4" s="4">
        <v>3</v>
      </c>
      <c r="B4" s="31"/>
      <c r="C4" s="4"/>
      <c r="D4" s="4"/>
      <c r="E4" s="5"/>
      <c r="F4" s="4"/>
      <c r="G4" s="5"/>
      <c r="H4" s="4"/>
      <c r="I4" s="5"/>
      <c r="J4" s="4"/>
      <c r="K4" s="4"/>
      <c r="L4" s="30"/>
    </row>
    <row r="5" spans="1:12" ht="31.5" customHeight="1" x14ac:dyDescent="0.4">
      <c r="A5" s="4">
        <v>4</v>
      </c>
      <c r="B5" s="31"/>
      <c r="C5" s="4"/>
      <c r="D5" s="4"/>
      <c r="E5" s="5"/>
      <c r="F5" s="4"/>
      <c r="G5" s="5"/>
      <c r="H5" s="4"/>
      <c r="I5" s="5"/>
      <c r="J5" s="4"/>
      <c r="K5" s="4"/>
      <c r="L5" s="30"/>
    </row>
    <row r="6" spans="1:12" ht="23.5" customHeight="1" x14ac:dyDescent="0.4">
      <c r="A6" s="4">
        <v>5</v>
      </c>
      <c r="B6" s="31"/>
      <c r="C6" s="4"/>
      <c r="D6" s="4"/>
      <c r="E6" s="5"/>
      <c r="F6" s="4"/>
      <c r="G6" s="5"/>
      <c r="H6" s="4"/>
      <c r="I6" s="5"/>
      <c r="J6" s="4"/>
      <c r="K6" s="4"/>
      <c r="L6" s="30"/>
    </row>
    <row r="7" spans="1:12" ht="24.5" customHeight="1" x14ac:dyDescent="0.4">
      <c r="A7" s="4">
        <v>6</v>
      </c>
      <c r="B7" s="31" t="s">
        <v>200</v>
      </c>
      <c r="C7" s="4" t="s">
        <v>198</v>
      </c>
      <c r="D7" s="2" t="s">
        <v>199</v>
      </c>
      <c r="E7" s="5">
        <v>25</v>
      </c>
      <c r="F7" s="4">
        <v>2</v>
      </c>
      <c r="G7" s="5">
        <f>E7/F7</f>
        <v>12.5</v>
      </c>
      <c r="H7" s="4">
        <v>2</v>
      </c>
      <c r="I7" s="5">
        <f>G7*H7</f>
        <v>25</v>
      </c>
      <c r="J7" s="4">
        <v>0</v>
      </c>
      <c r="K7" s="4">
        <v>4</v>
      </c>
      <c r="L7" s="30">
        <f>K7*G7</f>
        <v>50</v>
      </c>
    </row>
    <row r="8" spans="1:12" ht="27" customHeight="1" x14ac:dyDescent="0.4">
      <c r="A8" s="4">
        <v>7</v>
      </c>
      <c r="B8" s="31"/>
      <c r="C8" s="4"/>
      <c r="D8" s="4"/>
      <c r="E8" s="5"/>
      <c r="F8" s="4"/>
      <c r="G8" s="5"/>
      <c r="H8" s="4"/>
      <c r="I8" s="5"/>
      <c r="J8" s="4"/>
      <c r="K8" s="4"/>
      <c r="L8" s="30"/>
    </row>
    <row r="9" spans="1:12" ht="26" customHeight="1" x14ac:dyDescent="0.4">
      <c r="A9" s="4">
        <v>8</v>
      </c>
      <c r="B9" s="31"/>
      <c r="C9" s="4"/>
      <c r="D9" s="4"/>
      <c r="E9" s="5"/>
      <c r="F9" s="4"/>
      <c r="G9" s="5"/>
      <c r="H9" s="4"/>
      <c r="I9" s="5"/>
      <c r="J9" s="4"/>
      <c r="K9" s="4"/>
      <c r="L9" s="30"/>
    </row>
    <row r="10" spans="1:12" ht="25" customHeight="1" x14ac:dyDescent="0.4">
      <c r="A10" s="4">
        <v>9</v>
      </c>
      <c r="B10" s="31"/>
      <c r="C10" s="4"/>
      <c r="D10" s="4"/>
      <c r="E10" s="5"/>
      <c r="F10" s="4"/>
      <c r="G10" s="5"/>
      <c r="H10" s="4"/>
      <c r="I10" s="5"/>
      <c r="J10" s="4"/>
      <c r="K10" s="4"/>
      <c r="L10" s="30"/>
    </row>
    <row r="11" spans="1:12" ht="29" customHeight="1" x14ac:dyDescent="0.4">
      <c r="A11" s="4">
        <v>10</v>
      </c>
      <c r="B11" s="31"/>
      <c r="C11" s="4"/>
      <c r="D11" s="4"/>
      <c r="E11" s="5"/>
      <c r="F11" s="4"/>
      <c r="G11" s="5"/>
      <c r="H11" s="4"/>
      <c r="I11" s="5"/>
      <c r="J11" s="4"/>
      <c r="K11" s="4"/>
      <c r="L11" s="30">
        <v>400</v>
      </c>
    </row>
    <row r="12" spans="1:12" ht="39.5" customHeight="1" x14ac:dyDescent="0.4">
      <c r="A12" s="32" t="s">
        <v>55</v>
      </c>
      <c r="B12" s="32"/>
      <c r="C12" s="32"/>
      <c r="D12" s="32"/>
      <c r="E12" s="32"/>
      <c r="F12" s="32"/>
      <c r="G12" s="32"/>
      <c r="H12" s="32"/>
      <c r="I12" s="33">
        <f>SUM(I2:I10)</f>
        <v>44.992180000000005</v>
      </c>
      <c r="J12" s="34" t="s">
        <v>195</v>
      </c>
      <c r="K12" s="34"/>
      <c r="L12" s="35">
        <f>SUM(L2:L11)</f>
        <v>489.98436000000004</v>
      </c>
    </row>
    <row r="16" spans="1:12" x14ac:dyDescent="0.4">
      <c r="I16" s="12"/>
    </row>
    <row r="43" ht="31" customHeight="1" x14ac:dyDescent="0.4"/>
    <row r="44" ht="32" customHeight="1" x14ac:dyDescent="0.4"/>
    <row r="46" ht="32" customHeight="1" x14ac:dyDescent="0.4"/>
  </sheetData>
  <mergeCells count="2">
    <mergeCell ref="A12:H12"/>
    <mergeCell ref="J12:K12"/>
  </mergeCells>
  <conditionalFormatting sqref="A2:L11">
    <cfRule type="expression" dxfId="3" priority="1">
      <formula>MOD(ROW(),2)</formula>
    </cfRule>
  </conditionalFormatting>
  <hyperlinks>
    <hyperlink ref="D7" r:id="rId1" xr:uid="{57B4361D-48E2-3B41-B418-FE89579F184B}"/>
    <hyperlink ref="D2" r:id="rId2" xr:uid="{513F95C4-2F64-4FBF-AFF2-59EC9F88E04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8930-9406-2043-8E02-400D939E2382}">
  <dimension ref="A1:L62"/>
  <sheetViews>
    <sheetView zoomScale="85" zoomScaleNormal="100" workbookViewId="0">
      <pane ySplit="1" topLeftCell="A18" activePane="bottomLeft" state="frozen"/>
      <selection pane="bottomLeft" activeCell="G38" sqref="G38:H38"/>
    </sheetView>
  </sheetViews>
  <sheetFormatPr defaultColWidth="10.6640625" defaultRowHeight="16" x14ac:dyDescent="0.4"/>
  <cols>
    <col min="2" max="2" width="33.33203125" customWidth="1"/>
    <col min="3" max="3" width="31.33203125" customWidth="1"/>
    <col min="4" max="4" width="57.5" customWidth="1"/>
    <col min="5" max="5" width="12.6640625" customWidth="1"/>
    <col min="6" max="6" width="17.5" customWidth="1"/>
    <col min="7" max="7" width="13.83203125" customWidth="1"/>
    <col min="12" max="12" width="18.4140625" customWidth="1"/>
    <col min="15" max="18" width="10.83203125" customWidth="1"/>
  </cols>
  <sheetData>
    <row r="1" spans="1:12" ht="83.5" customHeight="1" thickBot="1" x14ac:dyDescent="0.45">
      <c r="A1" s="26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8" t="s">
        <v>192</v>
      </c>
      <c r="K1" s="28" t="s">
        <v>193</v>
      </c>
      <c r="L1" s="28" t="s">
        <v>194</v>
      </c>
    </row>
    <row r="2" spans="1:12" ht="36" customHeight="1" x14ac:dyDescent="0.4">
      <c r="A2" s="6">
        <v>1</v>
      </c>
      <c r="B2" s="29" t="s">
        <v>9</v>
      </c>
      <c r="C2" s="22" t="s">
        <v>56</v>
      </c>
      <c r="D2" s="21" t="s">
        <v>10</v>
      </c>
      <c r="E2" s="19">
        <v>29.98</v>
      </c>
      <c r="F2" s="6">
        <v>3.0099999999999998E-2</v>
      </c>
      <c r="G2" s="7">
        <v>0.45100000000000001</v>
      </c>
      <c r="H2" s="6">
        <v>1</v>
      </c>
      <c r="I2" s="7">
        <v>0.45119900000000002</v>
      </c>
      <c r="J2" s="4">
        <v>1</v>
      </c>
      <c r="K2" s="4">
        <v>12</v>
      </c>
      <c r="L2" s="30">
        <f t="shared" ref="L2:L27" si="0">(IF(K2-J2&lt;0,0,K2-J2))*G2</f>
        <v>4.9610000000000003</v>
      </c>
    </row>
    <row r="3" spans="1:12" ht="30.5" customHeight="1" x14ac:dyDescent="0.4">
      <c r="A3" s="4">
        <v>2</v>
      </c>
      <c r="B3" s="31" t="s">
        <v>11</v>
      </c>
      <c r="C3" s="22"/>
      <c r="D3" s="22"/>
      <c r="E3" s="19"/>
      <c r="F3" s="4">
        <v>3.0099999999999998E-2</v>
      </c>
      <c r="G3" s="5">
        <v>0.45100000000000001</v>
      </c>
      <c r="H3" s="4">
        <v>1</v>
      </c>
      <c r="I3" s="5">
        <v>0.45119900000000002</v>
      </c>
      <c r="J3" s="4">
        <v>1</v>
      </c>
      <c r="K3" s="4">
        <v>12</v>
      </c>
      <c r="L3" s="30">
        <f t="shared" si="0"/>
        <v>4.9610000000000003</v>
      </c>
    </row>
    <row r="4" spans="1:12" ht="39.5" customHeight="1" x14ac:dyDescent="0.4">
      <c r="A4" s="4">
        <v>3</v>
      </c>
      <c r="B4" s="31" t="s">
        <v>12</v>
      </c>
      <c r="C4" s="22"/>
      <c r="D4" s="22"/>
      <c r="E4" s="19"/>
      <c r="F4" s="4">
        <v>1.15E-2</v>
      </c>
      <c r="G4" s="5">
        <v>0.17199999999999999</v>
      </c>
      <c r="H4" s="4">
        <v>2</v>
      </c>
      <c r="I4" s="5">
        <v>0.3444702</v>
      </c>
      <c r="J4" s="4">
        <v>2</v>
      </c>
      <c r="K4" s="4">
        <v>24</v>
      </c>
      <c r="L4" s="30">
        <f t="shared" si="0"/>
        <v>3.7839999999999998</v>
      </c>
    </row>
    <row r="5" spans="1:12" x14ac:dyDescent="0.4">
      <c r="A5" s="4">
        <v>4</v>
      </c>
      <c r="B5" s="31" t="s">
        <v>13</v>
      </c>
      <c r="C5" s="22"/>
      <c r="D5" s="22"/>
      <c r="E5" s="19"/>
      <c r="F5" s="4">
        <v>3.5999999999999999E-3</v>
      </c>
      <c r="G5" s="5">
        <v>5.3999999999999999E-2</v>
      </c>
      <c r="H5" s="4">
        <v>1</v>
      </c>
      <c r="I5" s="5">
        <v>5.3514300000000001E-2</v>
      </c>
      <c r="J5" s="4">
        <v>1</v>
      </c>
      <c r="K5" s="4">
        <v>12</v>
      </c>
      <c r="L5" s="30">
        <f t="shared" si="0"/>
        <v>0.59399999999999997</v>
      </c>
    </row>
    <row r="6" spans="1:12" ht="22" customHeight="1" x14ac:dyDescent="0.4">
      <c r="A6" s="6">
        <v>5</v>
      </c>
      <c r="B6" s="31" t="s">
        <v>14</v>
      </c>
      <c r="C6" s="22"/>
      <c r="D6" s="22"/>
      <c r="E6" s="19"/>
      <c r="F6" s="4">
        <v>2.0000000000000001E-4</v>
      </c>
      <c r="G6" s="5">
        <v>2E-3</v>
      </c>
      <c r="H6" s="4">
        <v>1</v>
      </c>
      <c r="I6" s="5">
        <v>2.3984000000000002E-3</v>
      </c>
      <c r="J6" s="4">
        <v>1</v>
      </c>
      <c r="K6" s="4">
        <v>12</v>
      </c>
      <c r="L6" s="30">
        <f t="shared" si="0"/>
        <v>2.1999999999999999E-2</v>
      </c>
    </row>
    <row r="7" spans="1:12" ht="27" customHeight="1" x14ac:dyDescent="0.4">
      <c r="A7" s="4">
        <v>6</v>
      </c>
      <c r="B7" s="31" t="s">
        <v>15</v>
      </c>
      <c r="C7" s="22"/>
      <c r="D7" s="22"/>
      <c r="E7" s="19"/>
      <c r="F7" s="4">
        <v>4.0000000000000002E-4</v>
      </c>
      <c r="G7" s="5">
        <v>6.0000000000000001E-3</v>
      </c>
      <c r="H7" s="4">
        <v>1</v>
      </c>
      <c r="I7" s="5">
        <v>5.5462999999999997E-3</v>
      </c>
      <c r="J7" s="4">
        <v>1</v>
      </c>
      <c r="K7" s="4">
        <v>12</v>
      </c>
      <c r="L7" s="30">
        <f t="shared" si="0"/>
        <v>6.6000000000000003E-2</v>
      </c>
    </row>
    <row r="8" spans="1:12" ht="25.5" customHeight="1" x14ac:dyDescent="0.4">
      <c r="A8" s="4">
        <v>7</v>
      </c>
      <c r="B8" s="31" t="s">
        <v>16</v>
      </c>
      <c r="C8" s="22"/>
      <c r="D8" s="22"/>
      <c r="E8" s="19"/>
      <c r="F8" s="4">
        <v>4.2200000000000001E-2</v>
      </c>
      <c r="G8" s="5">
        <v>0.63300000000000001</v>
      </c>
      <c r="H8" s="4">
        <v>1</v>
      </c>
      <c r="I8" s="5">
        <v>0.63272790000000001</v>
      </c>
      <c r="J8" s="4">
        <v>1</v>
      </c>
      <c r="K8" s="4">
        <v>12</v>
      </c>
      <c r="L8" s="30">
        <f t="shared" si="0"/>
        <v>6.9630000000000001</v>
      </c>
    </row>
    <row r="9" spans="1:12" ht="26" customHeight="1" x14ac:dyDescent="0.4">
      <c r="A9" s="4">
        <v>8</v>
      </c>
      <c r="B9" s="31" t="s">
        <v>17</v>
      </c>
      <c r="C9" s="22"/>
      <c r="D9" s="22"/>
      <c r="E9" s="19"/>
      <c r="F9" s="4">
        <v>5.0000000000000001E-4</v>
      </c>
      <c r="G9" s="5">
        <v>7.0000000000000001E-3</v>
      </c>
      <c r="H9" s="4">
        <v>1</v>
      </c>
      <c r="I9" s="5">
        <v>6.8954000000000003E-3</v>
      </c>
      <c r="J9" s="4">
        <v>1</v>
      </c>
      <c r="K9" s="4">
        <v>12</v>
      </c>
      <c r="L9" s="30">
        <f t="shared" si="0"/>
        <v>7.6999999999999999E-2</v>
      </c>
    </row>
    <row r="10" spans="1:12" ht="22" customHeight="1" x14ac:dyDescent="0.4">
      <c r="A10" s="6">
        <v>9</v>
      </c>
      <c r="B10" s="31" t="s">
        <v>18</v>
      </c>
      <c r="C10" s="22"/>
      <c r="D10" s="22"/>
      <c r="E10" s="19"/>
      <c r="F10" s="4">
        <v>3.2000000000000002E-3</v>
      </c>
      <c r="G10" s="5">
        <v>4.9000000000000002E-2</v>
      </c>
      <c r="H10" s="4">
        <v>1</v>
      </c>
      <c r="I10" s="5">
        <v>4.8567600000000002E-2</v>
      </c>
      <c r="J10" s="4">
        <v>1</v>
      </c>
      <c r="K10" s="4">
        <v>12</v>
      </c>
      <c r="L10" s="30">
        <f t="shared" si="0"/>
        <v>0.53900000000000003</v>
      </c>
    </row>
    <row r="11" spans="1:12" x14ac:dyDescent="0.4">
      <c r="A11" s="4">
        <v>10</v>
      </c>
      <c r="B11" s="31" t="s">
        <v>19</v>
      </c>
      <c r="C11" s="22"/>
      <c r="D11" s="22"/>
      <c r="E11" s="19"/>
      <c r="F11" s="4">
        <v>1E-4</v>
      </c>
      <c r="G11" s="5">
        <v>2E-3</v>
      </c>
      <c r="H11" s="4">
        <v>4</v>
      </c>
      <c r="I11" s="5">
        <v>7.7948000000000002E-3</v>
      </c>
      <c r="J11" s="4">
        <v>4</v>
      </c>
      <c r="K11" s="4">
        <v>48</v>
      </c>
      <c r="L11" s="30">
        <f t="shared" si="0"/>
        <v>8.7999999999999995E-2</v>
      </c>
    </row>
    <row r="12" spans="1:12" ht="22" customHeight="1" x14ac:dyDescent="0.4">
      <c r="A12" s="4">
        <v>11</v>
      </c>
      <c r="B12" s="31" t="s">
        <v>20</v>
      </c>
      <c r="C12" s="22"/>
      <c r="D12" s="22"/>
      <c r="E12" s="19"/>
      <c r="F12" s="4">
        <v>1.2500000000000001E-2</v>
      </c>
      <c r="G12" s="5">
        <v>0.188</v>
      </c>
      <c r="H12" s="4">
        <v>1</v>
      </c>
      <c r="I12" s="5">
        <v>0.1876748</v>
      </c>
      <c r="J12" s="4">
        <v>1</v>
      </c>
      <c r="K12" s="4">
        <v>12</v>
      </c>
      <c r="L12" s="30">
        <f t="shared" si="0"/>
        <v>2.0680000000000001</v>
      </c>
    </row>
    <row r="13" spans="1:12" ht="38.5" customHeight="1" x14ac:dyDescent="0.4">
      <c r="A13" s="4">
        <v>12</v>
      </c>
      <c r="B13" s="31" t="s">
        <v>21</v>
      </c>
      <c r="C13" s="23"/>
      <c r="D13" s="23"/>
      <c r="E13" s="20"/>
      <c r="F13" s="4">
        <v>1.95E-2</v>
      </c>
      <c r="G13" s="5">
        <v>0.29299999999999998</v>
      </c>
      <c r="H13" s="4">
        <v>1</v>
      </c>
      <c r="I13" s="5">
        <v>0.2926048</v>
      </c>
      <c r="J13" s="4">
        <v>1</v>
      </c>
      <c r="K13" s="4">
        <v>12</v>
      </c>
      <c r="L13" s="30">
        <f t="shared" si="0"/>
        <v>3.2229999999999999</v>
      </c>
    </row>
    <row r="14" spans="1:12" ht="37" customHeight="1" x14ac:dyDescent="0.4">
      <c r="A14" s="6">
        <v>13</v>
      </c>
      <c r="B14" s="31" t="s">
        <v>22</v>
      </c>
      <c r="C14" s="31" t="s">
        <v>23</v>
      </c>
      <c r="D14" s="2" t="s">
        <v>24</v>
      </c>
      <c r="E14" s="5">
        <v>28.09</v>
      </c>
      <c r="F14" s="4">
        <v>10</v>
      </c>
      <c r="G14" s="5">
        <f>E14/F14</f>
        <v>2.8090000000000002</v>
      </c>
      <c r="H14" s="4">
        <v>2</v>
      </c>
      <c r="I14" s="5">
        <f>G14*H14</f>
        <v>5.6180000000000003</v>
      </c>
      <c r="J14" s="4">
        <v>5</v>
      </c>
      <c r="K14" s="4">
        <v>24</v>
      </c>
      <c r="L14" s="30">
        <f t="shared" si="0"/>
        <v>53.371000000000002</v>
      </c>
    </row>
    <row r="15" spans="1:12" ht="32" x14ac:dyDescent="0.4">
      <c r="A15" s="4">
        <v>14</v>
      </c>
      <c r="B15" s="31" t="s">
        <v>25</v>
      </c>
      <c r="C15" s="31" t="s">
        <v>26</v>
      </c>
      <c r="D15" s="2" t="s">
        <v>215</v>
      </c>
      <c r="E15" s="5">
        <v>8.39</v>
      </c>
      <c r="F15" s="4">
        <v>50</v>
      </c>
      <c r="G15" s="5">
        <f t="shared" ref="G15:G27" si="1">E15/F15</f>
        <v>0.1678</v>
      </c>
      <c r="H15" s="4">
        <v>6</v>
      </c>
      <c r="I15" s="5">
        <f t="shared" ref="I15:I27" si="2">G15*H15</f>
        <v>1.0068000000000001</v>
      </c>
      <c r="J15" s="4">
        <v>20</v>
      </c>
      <c r="K15" s="4">
        <v>72</v>
      </c>
      <c r="L15" s="30">
        <f t="shared" si="0"/>
        <v>8.7256</v>
      </c>
    </row>
    <row r="16" spans="1:12" ht="31.5" customHeight="1" x14ac:dyDescent="0.4">
      <c r="A16" s="4">
        <v>15</v>
      </c>
      <c r="B16" s="31" t="s">
        <v>27</v>
      </c>
      <c r="C16" s="31" t="s">
        <v>28</v>
      </c>
      <c r="D16" s="2" t="s">
        <v>216</v>
      </c>
      <c r="E16" s="5">
        <v>9.59</v>
      </c>
      <c r="F16" s="4">
        <v>10</v>
      </c>
      <c r="G16" s="5">
        <f t="shared" si="1"/>
        <v>0.95899999999999996</v>
      </c>
      <c r="H16" s="4">
        <v>1</v>
      </c>
      <c r="I16" s="5">
        <f t="shared" si="2"/>
        <v>0.95899999999999996</v>
      </c>
      <c r="J16" s="4">
        <v>4</v>
      </c>
      <c r="K16" s="4">
        <v>12</v>
      </c>
      <c r="L16" s="30">
        <f t="shared" si="0"/>
        <v>7.6719999999999997</v>
      </c>
    </row>
    <row r="17" spans="1:12" ht="32" x14ac:dyDescent="0.4">
      <c r="A17" s="4">
        <v>16</v>
      </c>
      <c r="B17" s="31" t="s">
        <v>29</v>
      </c>
      <c r="C17" s="31" t="s">
        <v>30</v>
      </c>
      <c r="D17" s="2" t="s">
        <v>217</v>
      </c>
      <c r="E17" s="5">
        <v>5.99</v>
      </c>
      <c r="F17" s="4">
        <v>50</v>
      </c>
      <c r="G17" s="5">
        <f t="shared" si="1"/>
        <v>0.1198</v>
      </c>
      <c r="H17" s="4">
        <v>6</v>
      </c>
      <c r="I17" s="5">
        <f t="shared" si="2"/>
        <v>0.71879999999999999</v>
      </c>
      <c r="J17" s="4">
        <v>0</v>
      </c>
      <c r="K17" s="4">
        <v>72</v>
      </c>
      <c r="L17" s="30">
        <f t="shared" si="0"/>
        <v>8.6256000000000004</v>
      </c>
    </row>
    <row r="18" spans="1:12" ht="32" x14ac:dyDescent="0.4">
      <c r="A18" s="6">
        <v>17</v>
      </c>
      <c r="B18" s="31" t="s">
        <v>31</v>
      </c>
      <c r="C18" s="31" t="s">
        <v>32</v>
      </c>
      <c r="D18" s="2" t="s">
        <v>218</v>
      </c>
      <c r="E18" s="5">
        <v>7.99</v>
      </c>
      <c r="F18" s="4">
        <v>50</v>
      </c>
      <c r="G18" s="5">
        <f t="shared" si="1"/>
        <v>0.1598</v>
      </c>
      <c r="H18" s="4">
        <v>4</v>
      </c>
      <c r="I18" s="5">
        <f t="shared" si="2"/>
        <v>0.63919999999999999</v>
      </c>
      <c r="J18" s="4">
        <v>22</v>
      </c>
      <c r="K18" s="4">
        <v>48</v>
      </c>
      <c r="L18" s="30">
        <f t="shared" si="0"/>
        <v>4.1547999999999998</v>
      </c>
    </row>
    <row r="19" spans="1:12" ht="26.5" customHeight="1" x14ac:dyDescent="0.4">
      <c r="A19" s="4">
        <v>18</v>
      </c>
      <c r="B19" s="31" t="s">
        <v>33</v>
      </c>
      <c r="C19" s="31" t="s">
        <v>34</v>
      </c>
      <c r="D19" s="2" t="s">
        <v>219</v>
      </c>
      <c r="E19" s="5">
        <v>5.49</v>
      </c>
      <c r="F19" s="4">
        <v>200</v>
      </c>
      <c r="G19" s="5">
        <f t="shared" si="1"/>
        <v>2.7450000000000002E-2</v>
      </c>
      <c r="H19" s="4">
        <v>8</v>
      </c>
      <c r="I19" s="5">
        <f t="shared" si="2"/>
        <v>0.21960000000000002</v>
      </c>
      <c r="J19" s="4">
        <v>25</v>
      </c>
      <c r="K19" s="4">
        <v>48</v>
      </c>
      <c r="L19" s="30">
        <f t="shared" si="0"/>
        <v>0.63135000000000008</v>
      </c>
    </row>
    <row r="20" spans="1:12" s="59" customFormat="1" ht="24" customHeight="1" x14ac:dyDescent="0.4">
      <c r="A20" s="36">
        <v>19</v>
      </c>
      <c r="B20" s="37" t="s">
        <v>35</v>
      </c>
      <c r="C20" s="37" t="s">
        <v>36</v>
      </c>
      <c r="D20" s="38" t="s">
        <v>37</v>
      </c>
      <c r="E20" s="39">
        <v>60</v>
      </c>
      <c r="F20" s="36">
        <v>1</v>
      </c>
      <c r="G20" s="39">
        <f t="shared" si="1"/>
        <v>60</v>
      </c>
      <c r="H20" s="36">
        <v>1</v>
      </c>
      <c r="I20" s="39">
        <f t="shared" si="2"/>
        <v>60</v>
      </c>
      <c r="J20" s="36">
        <v>12</v>
      </c>
      <c r="K20" s="36">
        <v>12</v>
      </c>
      <c r="L20" s="40">
        <f t="shared" si="0"/>
        <v>0</v>
      </c>
    </row>
    <row r="21" spans="1:12" ht="32.5" customHeight="1" x14ac:dyDescent="0.4">
      <c r="A21" s="4">
        <v>20</v>
      </c>
      <c r="B21" s="31" t="s">
        <v>38</v>
      </c>
      <c r="C21" s="31" t="s">
        <v>39</v>
      </c>
      <c r="D21" s="2" t="s">
        <v>40</v>
      </c>
      <c r="E21" s="5">
        <v>8.2899999999999991</v>
      </c>
      <c r="F21" s="4">
        <v>8</v>
      </c>
      <c r="G21" s="5">
        <f t="shared" si="1"/>
        <v>1.0362499999999999</v>
      </c>
      <c r="H21" s="4">
        <v>1</v>
      </c>
      <c r="I21" s="5">
        <f t="shared" si="2"/>
        <v>1.0362499999999999</v>
      </c>
      <c r="J21" s="4">
        <v>6</v>
      </c>
      <c r="K21" s="4">
        <v>12</v>
      </c>
      <c r="L21" s="30">
        <f t="shared" si="0"/>
        <v>6.2174999999999994</v>
      </c>
    </row>
    <row r="22" spans="1:12" ht="32" x14ac:dyDescent="0.4">
      <c r="A22" s="6">
        <v>21</v>
      </c>
      <c r="B22" s="31" t="s">
        <v>41</v>
      </c>
      <c r="C22" s="31" t="s">
        <v>42</v>
      </c>
      <c r="D22" s="2" t="s">
        <v>219</v>
      </c>
      <c r="E22" s="5">
        <v>8.2799999999999994</v>
      </c>
      <c r="F22" s="4">
        <v>100</v>
      </c>
      <c r="G22" s="5">
        <f t="shared" si="1"/>
        <v>8.2799999999999999E-2</v>
      </c>
      <c r="H22" s="4">
        <v>6</v>
      </c>
      <c r="I22" s="5">
        <f t="shared" si="2"/>
        <v>0.49680000000000002</v>
      </c>
      <c r="J22" s="4">
        <v>15</v>
      </c>
      <c r="K22" s="4">
        <v>72</v>
      </c>
      <c r="L22" s="30">
        <f t="shared" si="0"/>
        <v>4.7195999999999998</v>
      </c>
    </row>
    <row r="23" spans="1:12" ht="32" x14ac:dyDescent="0.4">
      <c r="A23" s="4">
        <v>22</v>
      </c>
      <c r="B23" s="31" t="s">
        <v>43</v>
      </c>
      <c r="C23" s="31" t="s">
        <v>44</v>
      </c>
      <c r="D23" s="2" t="s">
        <v>45</v>
      </c>
      <c r="E23" s="5">
        <v>7.19</v>
      </c>
      <c r="F23" s="4">
        <v>8</v>
      </c>
      <c r="G23" s="5">
        <f t="shared" si="1"/>
        <v>0.89875000000000005</v>
      </c>
      <c r="H23" s="4">
        <v>6</v>
      </c>
      <c r="I23" s="5">
        <f t="shared" si="2"/>
        <v>5.3925000000000001</v>
      </c>
      <c r="J23" s="4">
        <v>24</v>
      </c>
      <c r="K23" s="4">
        <v>72</v>
      </c>
      <c r="L23" s="30">
        <f t="shared" si="0"/>
        <v>43.14</v>
      </c>
    </row>
    <row r="24" spans="1:12" ht="48" x14ac:dyDescent="0.4">
      <c r="A24" s="4">
        <v>23</v>
      </c>
      <c r="B24" s="31" t="s">
        <v>46</v>
      </c>
      <c r="C24" s="31" t="s">
        <v>47</v>
      </c>
      <c r="D24" s="2" t="s">
        <v>48</v>
      </c>
      <c r="E24" s="5">
        <v>13.19</v>
      </c>
      <c r="F24" s="4">
        <v>10</v>
      </c>
      <c r="G24" s="5">
        <f t="shared" si="1"/>
        <v>1.319</v>
      </c>
      <c r="H24" s="4">
        <v>1</v>
      </c>
      <c r="I24" s="5">
        <f t="shared" si="2"/>
        <v>1.319</v>
      </c>
      <c r="J24" s="4">
        <v>9</v>
      </c>
      <c r="K24" s="4">
        <v>12</v>
      </c>
      <c r="L24" s="30">
        <f t="shared" si="0"/>
        <v>3.9569999999999999</v>
      </c>
    </row>
    <row r="25" spans="1:12" ht="31.5" customHeight="1" x14ac:dyDescent="0.4">
      <c r="A25" s="4">
        <v>24</v>
      </c>
      <c r="B25" s="31" t="s">
        <v>49</v>
      </c>
      <c r="C25" s="31" t="s">
        <v>50</v>
      </c>
      <c r="D25" s="2" t="s">
        <v>220</v>
      </c>
      <c r="E25" s="5">
        <v>9.19</v>
      </c>
      <c r="F25" s="4">
        <v>100</v>
      </c>
      <c r="G25" s="5">
        <f t="shared" si="1"/>
        <v>9.1899999999999996E-2</v>
      </c>
      <c r="H25" s="4">
        <v>30</v>
      </c>
      <c r="I25" s="5">
        <f t="shared" si="2"/>
        <v>2.7569999999999997</v>
      </c>
      <c r="J25" s="4">
        <v>18</v>
      </c>
      <c r="K25" s="4">
        <v>360</v>
      </c>
      <c r="L25" s="30">
        <f t="shared" si="0"/>
        <v>31.4298</v>
      </c>
    </row>
    <row r="26" spans="1:12" ht="31.5" customHeight="1" x14ac:dyDescent="0.4">
      <c r="A26" s="6">
        <v>25</v>
      </c>
      <c r="B26" s="31" t="s">
        <v>52</v>
      </c>
      <c r="C26" s="31" t="s">
        <v>50</v>
      </c>
      <c r="D26" s="2" t="s">
        <v>221</v>
      </c>
      <c r="E26" s="5">
        <v>9.19</v>
      </c>
      <c r="F26" s="4">
        <v>100</v>
      </c>
      <c r="G26" s="5">
        <f t="shared" si="1"/>
        <v>9.1899999999999996E-2</v>
      </c>
      <c r="H26" s="4">
        <v>6</v>
      </c>
      <c r="I26" s="5">
        <f t="shared" si="2"/>
        <v>0.5514</v>
      </c>
      <c r="J26" s="4">
        <v>44</v>
      </c>
      <c r="K26" s="4">
        <v>72</v>
      </c>
      <c r="L26" s="30">
        <f t="shared" si="0"/>
        <v>2.5731999999999999</v>
      </c>
    </row>
    <row r="27" spans="1:12" ht="32" x14ac:dyDescent="0.4">
      <c r="A27" s="42">
        <v>26</v>
      </c>
      <c r="B27" s="43" t="s">
        <v>53</v>
      </c>
      <c r="C27" s="43" t="s">
        <v>54</v>
      </c>
      <c r="D27" s="44" t="s">
        <v>222</v>
      </c>
      <c r="E27" s="45">
        <v>15.1</v>
      </c>
      <c r="F27" s="42">
        <v>20</v>
      </c>
      <c r="G27" s="45">
        <f t="shared" si="1"/>
        <v>0.755</v>
      </c>
      <c r="H27" s="42">
        <v>1</v>
      </c>
      <c r="I27" s="45">
        <f t="shared" si="2"/>
        <v>0.755</v>
      </c>
      <c r="J27" s="42">
        <v>15</v>
      </c>
      <c r="K27" s="42">
        <v>0</v>
      </c>
      <c r="L27" s="46">
        <f t="shared" si="0"/>
        <v>0</v>
      </c>
    </row>
    <row r="28" spans="1:12" s="15" customFormat="1" ht="32" customHeight="1" x14ac:dyDescent="0.4">
      <c r="A28" s="32" t="s">
        <v>55</v>
      </c>
      <c r="B28" s="32"/>
      <c r="C28" s="32"/>
      <c r="D28" s="32"/>
      <c r="E28" s="32"/>
      <c r="F28" s="32"/>
      <c r="G28" s="32"/>
      <c r="H28" s="32"/>
      <c r="I28" s="33">
        <f>SUM(I2:I27)</f>
        <v>83.953942499999997</v>
      </c>
      <c r="J28" s="34" t="s">
        <v>195</v>
      </c>
      <c r="K28" s="34"/>
      <c r="L28" s="35">
        <f>SUM(L2:L27)</f>
        <v>202.56344999999999</v>
      </c>
    </row>
    <row r="29" spans="1:12" x14ac:dyDescent="0.4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</row>
    <row r="32" spans="1:12" x14ac:dyDescent="0.4">
      <c r="I32" s="12"/>
    </row>
    <row r="59" ht="31" customHeight="1" x14ac:dyDescent="0.4"/>
    <row r="60" ht="32" customHeight="1" x14ac:dyDescent="0.4"/>
    <row r="62" ht="32" customHeight="1" x14ac:dyDescent="0.4"/>
  </sheetData>
  <mergeCells count="5">
    <mergeCell ref="J28:K28"/>
    <mergeCell ref="E2:E13"/>
    <mergeCell ref="D2:D13"/>
    <mergeCell ref="A28:H28"/>
    <mergeCell ref="C2:C13"/>
  </mergeCells>
  <conditionalFormatting sqref="A2:L27">
    <cfRule type="expression" dxfId="2" priority="2">
      <formula>MOD(ROW(),2)</formula>
    </cfRule>
  </conditionalFormatting>
  <hyperlinks>
    <hyperlink ref="D2" r:id="rId1" xr:uid="{5B23A69F-0D99-8B45-B60B-3B422B7E15C5}"/>
    <hyperlink ref="D14" r:id="rId2" xr:uid="{D2731DD0-17F4-4B41-85B2-0843C9D352C6}"/>
    <hyperlink ref="D15" r:id="rId3" xr:uid="{C61B4720-9FD3-924A-83EE-76E5EDC64A5D}"/>
    <hyperlink ref="D16" r:id="rId4" xr:uid="{240D7A93-5064-7C4D-8A6D-F66F1C90CF5B}"/>
    <hyperlink ref="D17" r:id="rId5" xr:uid="{154D0A22-0042-0A4E-9917-6FD7FA5B7D4E}"/>
    <hyperlink ref="D18" r:id="rId6" xr:uid="{DD5E79F0-2245-7141-8F8D-A9DEBEBA6E03}"/>
    <hyperlink ref="D19" r:id="rId7" xr:uid="{68FB1776-667D-6640-A409-3E2F02B8DADF}"/>
    <hyperlink ref="D27" r:id="rId8" xr:uid="{B688A71E-BF2F-AF4A-B36D-352F6779CFDF}"/>
    <hyperlink ref="D26" r:id="rId9" xr:uid="{23168F80-8F04-DE41-9B44-62A1CFA7A51B}"/>
    <hyperlink ref="D25" r:id="rId10" xr:uid="{6B9CBCD2-4CAE-7743-B936-6E61C89E99BA}"/>
    <hyperlink ref="D24" r:id="rId11" xr:uid="{04CFBF2A-5416-AB4C-8837-8AF7C04A3D59}"/>
    <hyperlink ref="D22" r:id="rId12" xr:uid="{878F8118-01E9-4444-B730-943E147F0708}"/>
    <hyperlink ref="D21" r:id="rId13" xr:uid="{E534FEA7-06F3-D54C-86FE-F443C9C30E34}"/>
    <hyperlink ref="D20" r:id="rId14" xr:uid="{79944E7E-8A70-D940-9684-1B8A318EC14A}"/>
    <hyperlink ref="D23" r:id="rId15" xr:uid="{FD7F938C-39C3-2140-8D98-C6EEA76DA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752E-49A0-D348-9E27-6206B0A59C47}">
  <dimension ref="A1:L45"/>
  <sheetViews>
    <sheetView tabSelected="1" zoomScale="115" zoomScaleNormal="115" workbookViewId="0">
      <pane ySplit="1" topLeftCell="A2" activePane="bottomLeft" state="frozen"/>
      <selection pane="bottomLeft" activeCell="E17" sqref="E17"/>
    </sheetView>
  </sheetViews>
  <sheetFormatPr defaultColWidth="10.6640625" defaultRowHeight="16" x14ac:dyDescent="0.4"/>
  <cols>
    <col min="1" max="1" width="16.33203125" customWidth="1"/>
    <col min="2" max="2" width="29.6640625" customWidth="1"/>
    <col min="3" max="3" width="25.5" customWidth="1"/>
    <col min="4" max="4" width="20" customWidth="1"/>
    <col min="5" max="5" width="13.5" customWidth="1"/>
    <col min="6" max="6" width="15.33203125" customWidth="1"/>
    <col min="7" max="7" width="15.83203125" customWidth="1"/>
    <col min="8" max="8" width="8.33203125" customWidth="1"/>
    <col min="9" max="9" width="10.6640625" customWidth="1"/>
  </cols>
  <sheetData>
    <row r="1" spans="1:12" ht="64" x14ac:dyDescent="0.4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196</v>
      </c>
      <c r="K1" s="28" t="s">
        <v>193</v>
      </c>
      <c r="L1" s="28" t="s">
        <v>194</v>
      </c>
    </row>
    <row r="2" spans="1:12" x14ac:dyDescent="0.4">
      <c r="A2" s="4">
        <v>1</v>
      </c>
      <c r="B2" s="31" t="s">
        <v>59</v>
      </c>
      <c r="C2" s="4" t="s">
        <v>60</v>
      </c>
      <c r="D2" s="2" t="s">
        <v>61</v>
      </c>
      <c r="E2" s="5">
        <v>34.97</v>
      </c>
      <c r="F2" s="4">
        <v>5</v>
      </c>
      <c r="G2" s="5">
        <f>E2/F2</f>
        <v>6.9939999999999998</v>
      </c>
      <c r="H2" s="4">
        <v>1</v>
      </c>
      <c r="I2" s="5">
        <f>G2*H2</f>
        <v>6.9939999999999998</v>
      </c>
      <c r="J2" s="4">
        <v>5</v>
      </c>
      <c r="K2" s="4">
        <v>12</v>
      </c>
      <c r="L2" s="5">
        <f>(IF(K2-J2&lt;0,0,K2-J2))*G2</f>
        <v>48.957999999999998</v>
      </c>
    </row>
    <row r="3" spans="1:12" x14ac:dyDescent="0.4">
      <c r="A3" s="4">
        <v>2</v>
      </c>
      <c r="B3" s="31" t="s">
        <v>160</v>
      </c>
      <c r="C3" s="4" t="s">
        <v>161</v>
      </c>
      <c r="D3" s="2" t="s">
        <v>151</v>
      </c>
      <c r="E3" s="5">
        <v>30.36</v>
      </c>
      <c r="F3" s="4">
        <v>6</v>
      </c>
      <c r="G3" s="5">
        <f t="shared" ref="G3:G40" si="0">E3/F3</f>
        <v>5.0599999999999996</v>
      </c>
      <c r="H3" s="4">
        <v>1</v>
      </c>
      <c r="I3" s="5">
        <f t="shared" ref="I3:I40" si="1">G3*H3</f>
        <v>5.0599999999999996</v>
      </c>
      <c r="J3" s="4">
        <v>6</v>
      </c>
      <c r="K3" s="4">
        <v>12</v>
      </c>
      <c r="L3" s="5">
        <f t="shared" ref="L3:L40" si="2">(IF(K3-J3&lt;0,0,K3-J3))*G3</f>
        <v>30.36</v>
      </c>
    </row>
    <row r="4" spans="1:12" x14ac:dyDescent="0.4">
      <c r="A4" s="4">
        <v>3</v>
      </c>
      <c r="B4" s="31" t="s">
        <v>116</v>
      </c>
      <c r="C4" s="4" t="s">
        <v>170</v>
      </c>
      <c r="D4" s="2" t="s">
        <v>113</v>
      </c>
      <c r="E4" s="5">
        <v>0.36</v>
      </c>
      <c r="F4" s="4">
        <v>180</v>
      </c>
      <c r="G4" s="5">
        <f>E4/F4</f>
        <v>2E-3</v>
      </c>
      <c r="H4" s="4">
        <f>F4/12</f>
        <v>15</v>
      </c>
      <c r="I4" s="5">
        <f>G4*H4</f>
        <v>0.03</v>
      </c>
      <c r="J4" s="4">
        <v>180</v>
      </c>
      <c r="K4" s="4">
        <v>180</v>
      </c>
      <c r="L4" s="5">
        <f t="shared" si="2"/>
        <v>0</v>
      </c>
    </row>
    <row r="5" spans="1:12" x14ac:dyDescent="0.4">
      <c r="A5" s="4">
        <v>4</v>
      </c>
      <c r="B5" s="31" t="s">
        <v>115</v>
      </c>
      <c r="C5" s="4" t="s">
        <v>164</v>
      </c>
      <c r="D5" s="2" t="s">
        <v>113</v>
      </c>
      <c r="E5" s="5">
        <v>5.88</v>
      </c>
      <c r="F5" s="4">
        <v>50</v>
      </c>
      <c r="G5" s="5">
        <f t="shared" ref="G5:G26" si="3">E5/F5</f>
        <v>0.1176</v>
      </c>
      <c r="H5" s="4">
        <f>48/12</f>
        <v>4</v>
      </c>
      <c r="I5" s="5">
        <f t="shared" ref="I5:I26" si="4">G5*H5</f>
        <v>0.47039999999999998</v>
      </c>
      <c r="J5" s="4">
        <v>50</v>
      </c>
      <c r="K5" s="4">
        <v>48</v>
      </c>
      <c r="L5" s="5">
        <f t="shared" si="2"/>
        <v>0</v>
      </c>
    </row>
    <row r="6" spans="1:12" x14ac:dyDescent="0.4">
      <c r="A6" s="4">
        <v>5</v>
      </c>
      <c r="B6" s="31" t="s">
        <v>114</v>
      </c>
      <c r="C6" s="4" t="s">
        <v>128</v>
      </c>
      <c r="D6" s="2" t="s">
        <v>113</v>
      </c>
      <c r="E6" s="5">
        <v>0.45</v>
      </c>
      <c r="F6" s="4">
        <v>72</v>
      </c>
      <c r="G6" s="5">
        <f t="shared" si="3"/>
        <v>6.2500000000000003E-3</v>
      </c>
      <c r="H6" s="4">
        <f t="shared" ref="H6:H31" si="5">F6/12</f>
        <v>6</v>
      </c>
      <c r="I6" s="5">
        <f t="shared" si="4"/>
        <v>3.7500000000000006E-2</v>
      </c>
      <c r="J6" s="4">
        <v>72</v>
      </c>
      <c r="K6" s="4">
        <v>72</v>
      </c>
      <c r="L6" s="5">
        <f t="shared" si="2"/>
        <v>0</v>
      </c>
    </row>
    <row r="7" spans="1:12" x14ac:dyDescent="0.4">
      <c r="A7" s="4">
        <v>6</v>
      </c>
      <c r="B7" s="31" t="s">
        <v>117</v>
      </c>
      <c r="C7" s="4" t="s">
        <v>165</v>
      </c>
      <c r="D7" s="2" t="s">
        <v>62</v>
      </c>
      <c r="E7" s="5">
        <v>0.76</v>
      </c>
      <c r="F7" s="4">
        <v>36</v>
      </c>
      <c r="G7" s="5">
        <f t="shared" si="3"/>
        <v>2.1111111111111112E-2</v>
      </c>
      <c r="H7" s="4">
        <f t="shared" si="5"/>
        <v>3</v>
      </c>
      <c r="I7" s="5">
        <f t="shared" si="4"/>
        <v>6.3333333333333339E-2</v>
      </c>
      <c r="J7" s="4">
        <v>36</v>
      </c>
      <c r="K7" s="4">
        <v>36</v>
      </c>
      <c r="L7" s="5">
        <f t="shared" si="2"/>
        <v>0</v>
      </c>
    </row>
    <row r="8" spans="1:12" x14ac:dyDescent="0.4">
      <c r="A8" s="4">
        <v>7</v>
      </c>
      <c r="B8" s="31" t="s">
        <v>118</v>
      </c>
      <c r="C8" s="4" t="s">
        <v>171</v>
      </c>
      <c r="D8" s="2" t="s">
        <v>113</v>
      </c>
      <c r="E8" s="5">
        <v>0.65</v>
      </c>
      <c r="F8" s="4">
        <v>24</v>
      </c>
      <c r="G8" s="5">
        <f t="shared" si="3"/>
        <v>2.7083333333333334E-2</v>
      </c>
      <c r="H8" s="4">
        <f t="shared" si="5"/>
        <v>2</v>
      </c>
      <c r="I8" s="5">
        <f t="shared" si="4"/>
        <v>5.4166666666666669E-2</v>
      </c>
      <c r="J8" s="4">
        <v>24</v>
      </c>
      <c r="K8" s="4">
        <v>24</v>
      </c>
      <c r="L8" s="5">
        <f t="shared" si="2"/>
        <v>0</v>
      </c>
    </row>
    <row r="9" spans="1:12" x14ac:dyDescent="0.4">
      <c r="A9" s="4">
        <v>8</v>
      </c>
      <c r="B9" s="31" t="s">
        <v>119</v>
      </c>
      <c r="C9" s="4" t="s">
        <v>166</v>
      </c>
      <c r="D9" s="2" t="s">
        <v>62</v>
      </c>
      <c r="E9" s="5">
        <v>0.04</v>
      </c>
      <c r="F9" s="4">
        <v>12</v>
      </c>
      <c r="G9" s="5">
        <f t="shared" si="3"/>
        <v>3.3333333333333335E-3</v>
      </c>
      <c r="H9" s="4">
        <f t="shared" si="5"/>
        <v>1</v>
      </c>
      <c r="I9" s="5">
        <f t="shared" si="4"/>
        <v>3.3333333333333335E-3</v>
      </c>
      <c r="J9" s="4">
        <v>12</v>
      </c>
      <c r="K9" s="4">
        <v>12</v>
      </c>
      <c r="L9" s="5">
        <f t="shared" si="2"/>
        <v>0</v>
      </c>
    </row>
    <row r="10" spans="1:12" x14ac:dyDescent="0.4">
      <c r="A10" s="4">
        <v>9</v>
      </c>
      <c r="B10" s="31" t="s">
        <v>120</v>
      </c>
      <c r="C10" s="4" t="s">
        <v>167</v>
      </c>
      <c r="D10" s="2" t="s">
        <v>113</v>
      </c>
      <c r="E10" s="5">
        <v>1.61</v>
      </c>
      <c r="F10" s="4">
        <v>12</v>
      </c>
      <c r="G10" s="5">
        <f t="shared" si="3"/>
        <v>0.13416666666666668</v>
      </c>
      <c r="H10" s="4">
        <f t="shared" si="5"/>
        <v>1</v>
      </c>
      <c r="I10" s="5">
        <f t="shared" si="4"/>
        <v>0.13416666666666668</v>
      </c>
      <c r="J10" s="4">
        <v>12</v>
      </c>
      <c r="K10" s="4">
        <v>12</v>
      </c>
      <c r="L10" s="5">
        <f t="shared" si="2"/>
        <v>0</v>
      </c>
    </row>
    <row r="11" spans="1:12" x14ac:dyDescent="0.4">
      <c r="A11" s="4">
        <v>10</v>
      </c>
      <c r="B11" s="31" t="s">
        <v>121</v>
      </c>
      <c r="C11" s="4" t="s">
        <v>168</v>
      </c>
      <c r="D11" s="2" t="s">
        <v>62</v>
      </c>
      <c r="E11" s="5">
        <v>0.17</v>
      </c>
      <c r="F11" s="4">
        <v>12</v>
      </c>
      <c r="G11" s="5">
        <f t="shared" si="3"/>
        <v>1.4166666666666668E-2</v>
      </c>
      <c r="H11" s="4">
        <f t="shared" si="5"/>
        <v>1</v>
      </c>
      <c r="I11" s="5">
        <f t="shared" si="4"/>
        <v>1.4166666666666668E-2</v>
      </c>
      <c r="J11" s="4">
        <v>12</v>
      </c>
      <c r="K11" s="4">
        <v>12</v>
      </c>
      <c r="L11" s="5">
        <f t="shared" si="2"/>
        <v>0</v>
      </c>
    </row>
    <row r="12" spans="1:12" x14ac:dyDescent="0.4">
      <c r="A12" s="4">
        <v>11</v>
      </c>
      <c r="B12" s="58" t="s">
        <v>126</v>
      </c>
      <c r="C12" s="8" t="s">
        <v>169</v>
      </c>
      <c r="D12" s="9" t="s">
        <v>113</v>
      </c>
      <c r="E12" s="57">
        <v>0.84</v>
      </c>
      <c r="F12" s="8">
        <v>24</v>
      </c>
      <c r="G12" s="5">
        <f t="shared" si="3"/>
        <v>3.4999999999999996E-2</v>
      </c>
      <c r="H12" s="4">
        <f t="shared" si="5"/>
        <v>2</v>
      </c>
      <c r="I12" s="5">
        <f t="shared" si="4"/>
        <v>6.9999999999999993E-2</v>
      </c>
      <c r="J12" s="4">
        <v>24</v>
      </c>
      <c r="K12" s="4">
        <v>24</v>
      </c>
      <c r="L12" s="5">
        <f t="shared" si="2"/>
        <v>0</v>
      </c>
    </row>
    <row r="13" spans="1:12" x14ac:dyDescent="0.4">
      <c r="A13" s="4">
        <v>12</v>
      </c>
      <c r="B13" s="31" t="s">
        <v>122</v>
      </c>
      <c r="C13" s="4" t="s">
        <v>123</v>
      </c>
      <c r="D13" s="2" t="s">
        <v>62</v>
      </c>
      <c r="E13" s="5">
        <v>2.48</v>
      </c>
      <c r="F13" s="4">
        <v>36</v>
      </c>
      <c r="G13" s="5">
        <f t="shared" si="3"/>
        <v>6.8888888888888888E-2</v>
      </c>
      <c r="H13" s="4">
        <f t="shared" si="5"/>
        <v>3</v>
      </c>
      <c r="I13" s="5">
        <f t="shared" si="4"/>
        <v>0.20666666666666667</v>
      </c>
      <c r="J13" s="4">
        <v>36</v>
      </c>
      <c r="K13" s="4">
        <v>36</v>
      </c>
      <c r="L13" s="5">
        <f t="shared" si="2"/>
        <v>0</v>
      </c>
    </row>
    <row r="14" spans="1:12" ht="16" customHeight="1" x14ac:dyDescent="0.4">
      <c r="A14" s="4">
        <v>13</v>
      </c>
      <c r="B14" s="31" t="s">
        <v>124</v>
      </c>
      <c r="C14" s="4" t="s">
        <v>125</v>
      </c>
      <c r="D14" s="2" t="s">
        <v>62</v>
      </c>
      <c r="E14" s="5">
        <v>5.93</v>
      </c>
      <c r="F14" s="4">
        <v>24</v>
      </c>
      <c r="G14" s="5">
        <f t="shared" si="3"/>
        <v>0.24708333333333332</v>
      </c>
      <c r="H14" s="4">
        <f t="shared" si="5"/>
        <v>2</v>
      </c>
      <c r="I14" s="5">
        <f t="shared" si="4"/>
        <v>0.49416666666666664</v>
      </c>
      <c r="J14" s="4">
        <v>24</v>
      </c>
      <c r="K14" s="4">
        <v>24</v>
      </c>
      <c r="L14" s="5">
        <f t="shared" si="2"/>
        <v>0</v>
      </c>
    </row>
    <row r="15" spans="1:12" ht="17" customHeight="1" x14ac:dyDescent="0.4">
      <c r="A15" s="4">
        <v>14</v>
      </c>
      <c r="B15" s="31" t="s">
        <v>127</v>
      </c>
      <c r="C15" s="31" t="s">
        <v>129</v>
      </c>
      <c r="D15" s="2" t="s">
        <v>62</v>
      </c>
      <c r="E15" s="5">
        <v>0.52</v>
      </c>
      <c r="F15" s="4">
        <v>25</v>
      </c>
      <c r="G15" s="5">
        <f t="shared" si="3"/>
        <v>2.0799999999999999E-2</v>
      </c>
      <c r="H15" s="4">
        <f>24/12</f>
        <v>2</v>
      </c>
      <c r="I15" s="5">
        <f t="shared" si="4"/>
        <v>4.1599999999999998E-2</v>
      </c>
      <c r="J15" s="4">
        <v>25</v>
      </c>
      <c r="K15" s="4">
        <v>24</v>
      </c>
      <c r="L15" s="5">
        <f t="shared" si="2"/>
        <v>0</v>
      </c>
    </row>
    <row r="16" spans="1:12" x14ac:dyDescent="0.4">
      <c r="A16" s="4">
        <v>15</v>
      </c>
      <c r="B16" s="31" t="s">
        <v>130</v>
      </c>
      <c r="C16" s="31" t="s">
        <v>131</v>
      </c>
      <c r="D16" s="2" t="s">
        <v>62</v>
      </c>
      <c r="E16" s="5">
        <v>0.83</v>
      </c>
      <c r="F16" s="4">
        <v>12</v>
      </c>
      <c r="G16" s="5">
        <f t="shared" si="3"/>
        <v>6.9166666666666668E-2</v>
      </c>
      <c r="H16" s="4">
        <f t="shared" si="5"/>
        <v>1</v>
      </c>
      <c r="I16" s="5">
        <f t="shared" si="4"/>
        <v>6.9166666666666668E-2</v>
      </c>
      <c r="J16" s="4">
        <v>12</v>
      </c>
      <c r="K16" s="4">
        <v>12</v>
      </c>
      <c r="L16" s="5">
        <f t="shared" si="2"/>
        <v>0</v>
      </c>
    </row>
    <row r="17" spans="1:12" x14ac:dyDescent="0.4">
      <c r="A17" s="4">
        <v>16</v>
      </c>
      <c r="B17" s="31" t="s">
        <v>132</v>
      </c>
      <c r="C17" s="31" t="s">
        <v>172</v>
      </c>
      <c r="D17" s="2" t="s">
        <v>62</v>
      </c>
      <c r="E17" s="5">
        <v>0.04</v>
      </c>
      <c r="F17" s="4">
        <v>12</v>
      </c>
      <c r="G17" s="5">
        <f t="shared" si="3"/>
        <v>3.3333333333333335E-3</v>
      </c>
      <c r="H17" s="4">
        <f t="shared" si="5"/>
        <v>1</v>
      </c>
      <c r="I17" s="5">
        <f t="shared" si="4"/>
        <v>3.3333333333333335E-3</v>
      </c>
      <c r="J17" s="4">
        <v>12</v>
      </c>
      <c r="K17" s="4">
        <v>12</v>
      </c>
      <c r="L17" s="5">
        <f t="shared" si="2"/>
        <v>0</v>
      </c>
    </row>
    <row r="18" spans="1:12" x14ac:dyDescent="0.4">
      <c r="A18" s="4">
        <v>17</v>
      </c>
      <c r="B18" s="31" t="s">
        <v>133</v>
      </c>
      <c r="C18" s="31" t="s">
        <v>173</v>
      </c>
      <c r="D18" s="2" t="s">
        <v>62</v>
      </c>
      <c r="E18" s="5">
        <v>0.16</v>
      </c>
      <c r="F18" s="4">
        <v>50</v>
      </c>
      <c r="G18" s="5">
        <f t="shared" si="3"/>
        <v>3.2000000000000002E-3</v>
      </c>
      <c r="H18" s="4">
        <f>48/12</f>
        <v>4</v>
      </c>
      <c r="I18" s="5">
        <f t="shared" si="4"/>
        <v>1.2800000000000001E-2</v>
      </c>
      <c r="J18" s="4">
        <v>50</v>
      </c>
      <c r="K18" s="4">
        <v>48</v>
      </c>
      <c r="L18" s="5">
        <f t="shared" si="2"/>
        <v>0</v>
      </c>
    </row>
    <row r="19" spans="1:12" x14ac:dyDescent="0.4">
      <c r="A19" s="4">
        <v>18</v>
      </c>
      <c r="B19" s="31" t="s">
        <v>134</v>
      </c>
      <c r="C19" s="31" t="s">
        <v>174</v>
      </c>
      <c r="D19" s="2" t="s">
        <v>62</v>
      </c>
      <c r="E19" s="5">
        <v>0.24</v>
      </c>
      <c r="F19" s="4">
        <v>24</v>
      </c>
      <c r="G19" s="5">
        <f t="shared" si="3"/>
        <v>0.01</v>
      </c>
      <c r="H19" s="4">
        <f t="shared" si="5"/>
        <v>2</v>
      </c>
      <c r="I19" s="5">
        <f t="shared" si="4"/>
        <v>0.02</v>
      </c>
      <c r="J19" s="4">
        <v>24</v>
      </c>
      <c r="K19" s="4">
        <v>24</v>
      </c>
      <c r="L19" s="5">
        <f t="shared" si="2"/>
        <v>0</v>
      </c>
    </row>
    <row r="20" spans="1:12" x14ac:dyDescent="0.4">
      <c r="A20" s="4">
        <v>19</v>
      </c>
      <c r="B20" s="31" t="s">
        <v>135</v>
      </c>
      <c r="C20" s="31" t="s">
        <v>136</v>
      </c>
      <c r="D20" s="2" t="s">
        <v>62</v>
      </c>
      <c r="E20" s="5">
        <v>2.74</v>
      </c>
      <c r="F20" s="4">
        <v>36</v>
      </c>
      <c r="G20" s="5">
        <f>E20/F20</f>
        <v>7.6111111111111115E-2</v>
      </c>
      <c r="H20" s="4">
        <f t="shared" si="5"/>
        <v>3</v>
      </c>
      <c r="I20" s="5">
        <f t="shared" si="4"/>
        <v>0.22833333333333333</v>
      </c>
      <c r="J20" s="4">
        <v>36</v>
      </c>
      <c r="K20" s="4">
        <v>36</v>
      </c>
      <c r="L20" s="5">
        <f t="shared" si="2"/>
        <v>0</v>
      </c>
    </row>
    <row r="21" spans="1:12" x14ac:dyDescent="0.4">
      <c r="A21" s="4">
        <v>20</v>
      </c>
      <c r="B21" s="31" t="s">
        <v>137</v>
      </c>
      <c r="C21" s="31" t="s">
        <v>138</v>
      </c>
      <c r="D21" s="2" t="s">
        <v>62</v>
      </c>
      <c r="E21" s="5">
        <v>0.05</v>
      </c>
      <c r="F21" s="4">
        <v>12</v>
      </c>
      <c r="G21" s="5">
        <f t="shared" si="3"/>
        <v>4.1666666666666666E-3</v>
      </c>
      <c r="H21" s="4">
        <f t="shared" si="5"/>
        <v>1</v>
      </c>
      <c r="I21" s="5">
        <f t="shared" si="4"/>
        <v>4.1666666666666666E-3</v>
      </c>
      <c r="J21" s="4">
        <v>12</v>
      </c>
      <c r="K21" s="4">
        <v>12</v>
      </c>
      <c r="L21" s="5">
        <f t="shared" si="2"/>
        <v>0</v>
      </c>
    </row>
    <row r="22" spans="1:12" x14ac:dyDescent="0.4">
      <c r="A22" s="4">
        <v>21</v>
      </c>
      <c r="B22" s="31" t="s">
        <v>139</v>
      </c>
      <c r="C22" s="31" t="s">
        <v>140</v>
      </c>
      <c r="D22" s="2" t="s">
        <v>62</v>
      </c>
      <c r="E22" s="5">
        <v>0.05</v>
      </c>
      <c r="F22" s="4">
        <v>12</v>
      </c>
      <c r="G22" s="5">
        <f>E22/F22</f>
        <v>4.1666666666666666E-3</v>
      </c>
      <c r="H22" s="4">
        <f t="shared" si="5"/>
        <v>1</v>
      </c>
      <c r="I22" s="5">
        <f t="shared" si="4"/>
        <v>4.1666666666666666E-3</v>
      </c>
      <c r="J22" s="4">
        <v>12</v>
      </c>
      <c r="K22" s="4">
        <v>12</v>
      </c>
      <c r="L22" s="5">
        <f t="shared" si="2"/>
        <v>0</v>
      </c>
    </row>
    <row r="23" spans="1:12" x14ac:dyDescent="0.4">
      <c r="A23" s="4">
        <v>22</v>
      </c>
      <c r="B23" s="31" t="s">
        <v>141</v>
      </c>
      <c r="C23" s="31" t="s">
        <v>175</v>
      </c>
      <c r="D23" s="2" t="s">
        <v>62</v>
      </c>
      <c r="E23" s="5">
        <v>0.17</v>
      </c>
      <c r="F23" s="4">
        <v>36</v>
      </c>
      <c r="G23" s="5">
        <f t="shared" si="3"/>
        <v>4.7222222222222223E-3</v>
      </c>
      <c r="H23" s="4">
        <f t="shared" si="5"/>
        <v>3</v>
      </c>
      <c r="I23" s="5">
        <f t="shared" si="4"/>
        <v>1.4166666666666668E-2</v>
      </c>
      <c r="J23" s="4">
        <v>36</v>
      </c>
      <c r="K23" s="4">
        <v>36</v>
      </c>
      <c r="L23" s="5">
        <f t="shared" si="2"/>
        <v>0</v>
      </c>
    </row>
    <row r="24" spans="1:12" x14ac:dyDescent="0.4">
      <c r="A24" s="4">
        <v>23</v>
      </c>
      <c r="B24" s="31" t="s">
        <v>142</v>
      </c>
      <c r="C24" s="31" t="s">
        <v>176</v>
      </c>
      <c r="D24" s="2" t="s">
        <v>62</v>
      </c>
      <c r="E24" s="5">
        <v>0.23</v>
      </c>
      <c r="F24" s="4">
        <v>25</v>
      </c>
      <c r="G24" s="5">
        <f t="shared" si="3"/>
        <v>9.1999999999999998E-3</v>
      </c>
      <c r="H24" s="4">
        <f>24/12</f>
        <v>2</v>
      </c>
      <c r="I24" s="5">
        <f t="shared" si="4"/>
        <v>1.84E-2</v>
      </c>
      <c r="J24" s="4">
        <v>25</v>
      </c>
      <c r="K24" s="4">
        <v>24</v>
      </c>
      <c r="L24" s="5">
        <f t="shared" si="2"/>
        <v>0</v>
      </c>
    </row>
    <row r="25" spans="1:12" x14ac:dyDescent="0.4">
      <c r="A25" s="4">
        <v>24</v>
      </c>
      <c r="B25" s="31" t="s">
        <v>143</v>
      </c>
      <c r="C25" s="31" t="s">
        <v>144</v>
      </c>
      <c r="D25" s="2" t="s">
        <v>62</v>
      </c>
      <c r="E25" s="5">
        <v>0.04</v>
      </c>
      <c r="F25" s="4">
        <v>12</v>
      </c>
      <c r="G25" s="5">
        <f t="shared" si="3"/>
        <v>3.3333333333333335E-3</v>
      </c>
      <c r="H25" s="4">
        <f t="shared" si="5"/>
        <v>1</v>
      </c>
      <c r="I25" s="5">
        <f t="shared" si="4"/>
        <v>3.3333333333333335E-3</v>
      </c>
      <c r="J25" s="8">
        <v>12</v>
      </c>
      <c r="K25" s="8">
        <v>12</v>
      </c>
      <c r="L25" s="57">
        <f t="shared" si="2"/>
        <v>0</v>
      </c>
    </row>
    <row r="26" spans="1:12" x14ac:dyDescent="0.4">
      <c r="A26" s="4">
        <v>25</v>
      </c>
      <c r="B26" s="31" t="s">
        <v>145</v>
      </c>
      <c r="C26" s="31" t="s">
        <v>146</v>
      </c>
      <c r="D26" s="2" t="s">
        <v>62</v>
      </c>
      <c r="E26" s="5">
        <v>0.08</v>
      </c>
      <c r="F26" s="4">
        <v>12</v>
      </c>
      <c r="G26" s="5">
        <f t="shared" si="3"/>
        <v>6.6666666666666671E-3</v>
      </c>
      <c r="H26" s="4">
        <f t="shared" si="5"/>
        <v>1</v>
      </c>
      <c r="I26" s="5">
        <f t="shared" si="4"/>
        <v>6.6666666666666671E-3</v>
      </c>
      <c r="J26" s="8">
        <v>12</v>
      </c>
      <c r="K26" s="8">
        <v>12</v>
      </c>
      <c r="L26" s="57">
        <f t="shared" si="2"/>
        <v>0</v>
      </c>
    </row>
    <row r="27" spans="1:12" x14ac:dyDescent="0.4">
      <c r="A27" s="4">
        <v>26</v>
      </c>
      <c r="B27" s="31" t="s">
        <v>147</v>
      </c>
      <c r="C27" s="31" t="s">
        <v>148</v>
      </c>
      <c r="D27" s="2" t="s">
        <v>62</v>
      </c>
      <c r="E27" s="5">
        <v>0.05</v>
      </c>
      <c r="F27" s="4">
        <v>12</v>
      </c>
      <c r="G27" s="5">
        <f t="shared" si="0"/>
        <v>4.1666666666666666E-3</v>
      </c>
      <c r="H27" s="4">
        <f t="shared" si="5"/>
        <v>1</v>
      </c>
      <c r="I27" s="5">
        <f t="shared" si="1"/>
        <v>4.1666666666666666E-3</v>
      </c>
      <c r="J27" s="8">
        <v>12</v>
      </c>
      <c r="K27" s="8">
        <v>12</v>
      </c>
      <c r="L27" s="57">
        <f t="shared" si="2"/>
        <v>0</v>
      </c>
    </row>
    <row r="28" spans="1:12" x14ac:dyDescent="0.4">
      <c r="A28" s="4">
        <v>27</v>
      </c>
      <c r="B28" s="31" t="s">
        <v>149</v>
      </c>
      <c r="C28" s="31" t="s">
        <v>150</v>
      </c>
      <c r="D28" s="2" t="s">
        <v>62</v>
      </c>
      <c r="E28" s="5">
        <v>0.11</v>
      </c>
      <c r="F28" s="4">
        <v>12</v>
      </c>
      <c r="G28" s="5">
        <f t="shared" si="0"/>
        <v>9.1666666666666667E-3</v>
      </c>
      <c r="H28" s="4">
        <f t="shared" si="5"/>
        <v>1</v>
      </c>
      <c r="I28" s="5">
        <f t="shared" si="1"/>
        <v>9.1666666666666667E-3</v>
      </c>
      <c r="J28" s="8">
        <v>12</v>
      </c>
      <c r="K28" s="8">
        <v>12</v>
      </c>
      <c r="L28" s="57">
        <f t="shared" si="2"/>
        <v>0</v>
      </c>
    </row>
    <row r="29" spans="1:12" x14ac:dyDescent="0.4">
      <c r="A29" s="4">
        <v>28</v>
      </c>
      <c r="B29" s="31" t="s">
        <v>152</v>
      </c>
      <c r="C29" s="31" t="s">
        <v>153</v>
      </c>
      <c r="D29" s="2" t="s">
        <v>113</v>
      </c>
      <c r="E29" s="5">
        <v>10.84</v>
      </c>
      <c r="F29" s="4">
        <v>36</v>
      </c>
      <c r="G29" s="5">
        <f t="shared" si="0"/>
        <v>0.30111111111111111</v>
      </c>
      <c r="H29" s="4">
        <f t="shared" si="5"/>
        <v>3</v>
      </c>
      <c r="I29" s="5">
        <f t="shared" si="1"/>
        <v>0.90333333333333332</v>
      </c>
      <c r="J29" s="8">
        <v>36</v>
      </c>
      <c r="K29" s="8">
        <v>36</v>
      </c>
      <c r="L29" s="57">
        <f t="shared" si="2"/>
        <v>0</v>
      </c>
    </row>
    <row r="30" spans="1:12" x14ac:dyDescent="0.4">
      <c r="A30" s="4">
        <v>29</v>
      </c>
      <c r="B30" s="31" t="s">
        <v>154</v>
      </c>
      <c r="C30" s="31" t="s">
        <v>155</v>
      </c>
      <c r="D30" s="2" t="s">
        <v>113</v>
      </c>
      <c r="E30" s="5">
        <v>3.62</v>
      </c>
      <c r="F30" s="4">
        <v>24</v>
      </c>
      <c r="G30" s="5">
        <f t="shared" si="0"/>
        <v>0.15083333333333335</v>
      </c>
      <c r="H30" s="4">
        <f t="shared" si="5"/>
        <v>2</v>
      </c>
      <c r="I30" s="5">
        <f t="shared" si="1"/>
        <v>0.30166666666666669</v>
      </c>
      <c r="J30" s="8">
        <v>24</v>
      </c>
      <c r="K30" s="8">
        <v>24</v>
      </c>
      <c r="L30" s="57">
        <f t="shared" si="2"/>
        <v>0</v>
      </c>
    </row>
    <row r="31" spans="1:12" x14ac:dyDescent="0.4">
      <c r="A31" s="4">
        <v>30</v>
      </c>
      <c r="B31" s="31" t="s">
        <v>156</v>
      </c>
      <c r="C31" s="31" t="s">
        <v>157</v>
      </c>
      <c r="D31" s="2" t="s">
        <v>113</v>
      </c>
      <c r="E31" s="5">
        <v>6.71</v>
      </c>
      <c r="F31" s="4">
        <v>12</v>
      </c>
      <c r="G31" s="5">
        <f t="shared" si="0"/>
        <v>0.5591666666666667</v>
      </c>
      <c r="H31" s="4">
        <f t="shared" si="5"/>
        <v>1</v>
      </c>
      <c r="I31" s="5">
        <f t="shared" si="1"/>
        <v>0.5591666666666667</v>
      </c>
      <c r="J31" s="8">
        <v>12</v>
      </c>
      <c r="K31" s="8">
        <v>12</v>
      </c>
      <c r="L31" s="57">
        <f t="shared" si="2"/>
        <v>0</v>
      </c>
    </row>
    <row r="32" spans="1:12" x14ac:dyDescent="0.4">
      <c r="A32" s="4">
        <v>31</v>
      </c>
      <c r="B32" s="31" t="s">
        <v>158</v>
      </c>
      <c r="C32" s="31" t="s">
        <v>159</v>
      </c>
      <c r="D32" s="2" t="s">
        <v>113</v>
      </c>
      <c r="E32" s="5">
        <v>59.67</v>
      </c>
      <c r="F32" s="4">
        <v>30</v>
      </c>
      <c r="G32" s="5">
        <f t="shared" si="0"/>
        <v>1.9890000000000001</v>
      </c>
      <c r="H32" s="4">
        <f>F32/5</f>
        <v>6</v>
      </c>
      <c r="I32" s="5">
        <f t="shared" si="1"/>
        <v>11.934000000000001</v>
      </c>
      <c r="J32" s="8">
        <v>30</v>
      </c>
      <c r="K32" s="8">
        <v>72</v>
      </c>
      <c r="L32" s="57">
        <f t="shared" si="2"/>
        <v>83.538000000000011</v>
      </c>
    </row>
    <row r="33" spans="1:12" x14ac:dyDescent="0.4">
      <c r="A33" s="4">
        <v>32</v>
      </c>
      <c r="B33" s="31" t="s">
        <v>162</v>
      </c>
      <c r="C33" s="31" t="s">
        <v>163</v>
      </c>
      <c r="D33" s="2" t="s">
        <v>151</v>
      </c>
      <c r="E33" s="5">
        <v>13.1</v>
      </c>
      <c r="F33" s="4">
        <v>5</v>
      </c>
      <c r="G33" s="5">
        <f t="shared" si="0"/>
        <v>2.62</v>
      </c>
      <c r="H33" s="4">
        <f>F33/5</f>
        <v>1</v>
      </c>
      <c r="I33" s="5">
        <f t="shared" si="1"/>
        <v>2.62</v>
      </c>
      <c r="J33" s="8">
        <v>5</v>
      </c>
      <c r="K33" s="8">
        <v>12</v>
      </c>
      <c r="L33" s="57">
        <f t="shared" si="2"/>
        <v>18.34</v>
      </c>
    </row>
    <row r="34" spans="1:12" x14ac:dyDescent="0.4">
      <c r="A34" s="4">
        <v>33</v>
      </c>
      <c r="B34" s="31" t="s">
        <v>177</v>
      </c>
      <c r="C34" s="31" t="s">
        <v>178</v>
      </c>
      <c r="D34" s="4" t="s">
        <v>185</v>
      </c>
      <c r="E34" s="5">
        <v>1.3720000000000001</v>
      </c>
      <c r="F34" s="4">
        <v>10</v>
      </c>
      <c r="G34" s="5">
        <f t="shared" si="0"/>
        <v>0.13720000000000002</v>
      </c>
      <c r="H34" s="4">
        <v>1</v>
      </c>
      <c r="I34" s="5">
        <f t="shared" si="1"/>
        <v>0.13720000000000002</v>
      </c>
      <c r="J34" s="8">
        <v>10</v>
      </c>
      <c r="K34" s="8">
        <v>12</v>
      </c>
      <c r="L34" s="57">
        <f t="shared" si="2"/>
        <v>0.27440000000000003</v>
      </c>
    </row>
    <row r="35" spans="1:12" x14ac:dyDescent="0.4">
      <c r="A35" s="4">
        <v>34</v>
      </c>
      <c r="B35" s="31" t="s">
        <v>180</v>
      </c>
      <c r="C35" s="31" t="s">
        <v>179</v>
      </c>
      <c r="D35" s="4" t="s">
        <v>185</v>
      </c>
      <c r="E35" s="5">
        <v>0.63700000000000001</v>
      </c>
      <c r="F35" s="4">
        <v>10</v>
      </c>
      <c r="G35" s="5">
        <f t="shared" si="0"/>
        <v>6.3700000000000007E-2</v>
      </c>
      <c r="H35" s="4">
        <v>1</v>
      </c>
      <c r="I35" s="5">
        <f t="shared" si="1"/>
        <v>6.3700000000000007E-2</v>
      </c>
      <c r="J35" s="8">
        <v>10</v>
      </c>
      <c r="K35" s="8">
        <v>12</v>
      </c>
      <c r="L35" s="57">
        <f t="shared" si="2"/>
        <v>0.12740000000000001</v>
      </c>
    </row>
    <row r="36" spans="1:12" x14ac:dyDescent="0.4">
      <c r="A36" s="4">
        <v>35</v>
      </c>
      <c r="B36" s="31" t="s">
        <v>181</v>
      </c>
      <c r="C36" s="31" t="s">
        <v>179</v>
      </c>
      <c r="D36" s="4" t="s">
        <v>185</v>
      </c>
      <c r="E36" s="5">
        <v>2.0169999999999999</v>
      </c>
      <c r="F36" s="4">
        <v>10</v>
      </c>
      <c r="G36" s="5">
        <f t="shared" si="0"/>
        <v>0.20169999999999999</v>
      </c>
      <c r="H36" s="4">
        <v>1</v>
      </c>
      <c r="I36" s="5">
        <f t="shared" si="1"/>
        <v>0.20169999999999999</v>
      </c>
      <c r="J36" s="8">
        <v>10</v>
      </c>
      <c r="K36" s="8">
        <v>12</v>
      </c>
      <c r="L36" s="57">
        <f t="shared" si="2"/>
        <v>0.40339999999999998</v>
      </c>
    </row>
    <row r="37" spans="1:12" x14ac:dyDescent="0.4">
      <c r="A37" s="4">
        <v>36</v>
      </c>
      <c r="B37" s="31" t="s">
        <v>182</v>
      </c>
      <c r="C37" s="31" t="s">
        <v>183</v>
      </c>
      <c r="D37" s="4" t="s">
        <v>151</v>
      </c>
      <c r="E37" s="5">
        <v>16.899999999999999</v>
      </c>
      <c r="F37" s="4">
        <v>10</v>
      </c>
      <c r="G37" s="5">
        <f t="shared" si="0"/>
        <v>1.69</v>
      </c>
      <c r="H37" s="4">
        <v>1</v>
      </c>
      <c r="I37" s="5">
        <f t="shared" si="1"/>
        <v>1.69</v>
      </c>
      <c r="J37" s="8">
        <v>15</v>
      </c>
      <c r="K37" s="8">
        <v>12</v>
      </c>
      <c r="L37" s="57">
        <f t="shared" si="2"/>
        <v>0</v>
      </c>
    </row>
    <row r="38" spans="1:12" x14ac:dyDescent="0.4">
      <c r="A38" s="4">
        <v>37</v>
      </c>
      <c r="B38" s="31" t="s">
        <v>184</v>
      </c>
      <c r="C38" s="31" t="s">
        <v>190</v>
      </c>
      <c r="D38" s="4" t="s">
        <v>151</v>
      </c>
      <c r="E38" s="5">
        <v>15.8</v>
      </c>
      <c r="F38" s="4">
        <v>10</v>
      </c>
      <c r="G38" s="5">
        <f t="shared" si="0"/>
        <v>1.58</v>
      </c>
      <c r="H38" s="4">
        <v>1</v>
      </c>
      <c r="I38" s="5">
        <f t="shared" si="1"/>
        <v>1.58</v>
      </c>
      <c r="J38" s="8">
        <v>5</v>
      </c>
      <c r="K38" s="8">
        <v>12</v>
      </c>
      <c r="L38" s="57">
        <f t="shared" si="2"/>
        <v>11.06</v>
      </c>
    </row>
    <row r="39" spans="1:12" x14ac:dyDescent="0.4">
      <c r="A39" s="4">
        <v>38</v>
      </c>
      <c r="B39" s="31" t="s">
        <v>187</v>
      </c>
      <c r="C39" s="31" t="s">
        <v>186</v>
      </c>
      <c r="D39" s="4" t="s">
        <v>151</v>
      </c>
      <c r="E39" s="5">
        <v>38</v>
      </c>
      <c r="F39" s="4">
        <v>10</v>
      </c>
      <c r="G39" s="5">
        <f t="shared" si="0"/>
        <v>3.8</v>
      </c>
      <c r="H39" s="4">
        <v>1</v>
      </c>
      <c r="I39" s="5">
        <f t="shared" si="1"/>
        <v>3.8</v>
      </c>
      <c r="J39" s="8">
        <v>5</v>
      </c>
      <c r="K39" s="8">
        <v>12</v>
      </c>
      <c r="L39" s="57">
        <f t="shared" si="2"/>
        <v>26.599999999999998</v>
      </c>
    </row>
    <row r="40" spans="1:12" ht="32" x14ac:dyDescent="0.4">
      <c r="A40" s="4">
        <v>39</v>
      </c>
      <c r="B40" s="31" t="s">
        <v>188</v>
      </c>
      <c r="C40" s="31" t="s">
        <v>189</v>
      </c>
      <c r="D40" s="4" t="s">
        <v>185</v>
      </c>
      <c r="E40" s="5">
        <v>6.5179999999999998</v>
      </c>
      <c r="F40" s="4">
        <v>10</v>
      </c>
      <c r="G40" s="5">
        <f t="shared" si="0"/>
        <v>0.65179999999999993</v>
      </c>
      <c r="H40" s="4">
        <v>1</v>
      </c>
      <c r="I40" s="5">
        <f t="shared" si="1"/>
        <v>0.65179999999999993</v>
      </c>
      <c r="J40" s="8">
        <v>5</v>
      </c>
      <c r="K40" s="8">
        <v>12</v>
      </c>
      <c r="L40" s="57">
        <f t="shared" si="2"/>
        <v>4.5625999999999998</v>
      </c>
    </row>
    <row r="41" spans="1:12" x14ac:dyDescent="0.4">
      <c r="A41" s="32" t="s">
        <v>55</v>
      </c>
      <c r="B41" s="32"/>
      <c r="C41" s="32"/>
      <c r="D41" s="32"/>
      <c r="E41" s="32"/>
      <c r="F41" s="32"/>
      <c r="G41" s="32"/>
      <c r="H41" s="32"/>
      <c r="I41" s="35">
        <f>SUM(I2:I40)</f>
        <v>38.513933333333327</v>
      </c>
      <c r="J41" s="34" t="s">
        <v>195</v>
      </c>
      <c r="K41" s="34"/>
      <c r="L41" s="35">
        <f>SUM(L2:L40)</f>
        <v>224.22380000000001</v>
      </c>
    </row>
    <row r="44" spans="1:12" x14ac:dyDescent="0.4">
      <c r="G44" s="16" t="s">
        <v>58</v>
      </c>
      <c r="H44" s="16"/>
      <c r="I44" s="11">
        <v>12</v>
      </c>
    </row>
    <row r="45" spans="1:12" x14ac:dyDescent="0.4">
      <c r="G45" s="16" t="s">
        <v>57</v>
      </c>
      <c r="H45" s="16"/>
      <c r="I45" s="10">
        <f>I41*I44</f>
        <v>462.16719999999992</v>
      </c>
    </row>
  </sheetData>
  <mergeCells count="4">
    <mergeCell ref="A41:H41"/>
    <mergeCell ref="G44:H44"/>
    <mergeCell ref="G45:H45"/>
    <mergeCell ref="J41:K41"/>
  </mergeCells>
  <conditionalFormatting sqref="A2:L40">
    <cfRule type="expression" dxfId="1" priority="1">
      <formula>MOD(ROW(),2)</formula>
    </cfRule>
  </conditionalFormatting>
  <hyperlinks>
    <hyperlink ref="D33" r:id="rId1" xr:uid="{00E97FD4-0201-C14C-9733-7793DB82F99F}"/>
    <hyperlink ref="D3" r:id="rId2" xr:uid="{05ECF41C-459F-5F4B-9F02-23DBADF87AF1}"/>
    <hyperlink ref="D4" r:id="rId3" xr:uid="{5F14C5FA-F4A6-F94D-A203-D748A6DED12C}"/>
    <hyperlink ref="D5" r:id="rId4" xr:uid="{E02699D9-8B88-9A4E-AE98-ECD99226A33B}"/>
    <hyperlink ref="D6" r:id="rId5" xr:uid="{7D8F4475-36DF-994D-ACB3-DB0CB32134C7}"/>
    <hyperlink ref="D7" r:id="rId6" xr:uid="{2A06ADCC-789A-034C-8859-94D196E56EB2}"/>
    <hyperlink ref="D8" r:id="rId7" xr:uid="{5AA39066-2F6E-E74A-B1E8-351DA7A53043}"/>
    <hyperlink ref="D9" r:id="rId8" xr:uid="{08A50FDC-AA6A-FC44-A633-DD408ACE891F}"/>
    <hyperlink ref="D10" r:id="rId9" xr:uid="{9703B392-7392-3348-9CA5-845722D97F86}"/>
    <hyperlink ref="D11" r:id="rId10" xr:uid="{19EF1EE6-7064-A341-AF25-32E736D12804}"/>
    <hyperlink ref="D12" r:id="rId11" xr:uid="{67620044-F3A4-5E45-955E-F2FDD3B8EF92}"/>
    <hyperlink ref="D13" r:id="rId12" xr:uid="{2550D745-470B-4447-A339-792AB3FA017D}"/>
    <hyperlink ref="D14" r:id="rId13" xr:uid="{23A1CF8A-A410-9E40-968A-D3E105A39978}"/>
    <hyperlink ref="D15" r:id="rId14" xr:uid="{7299E0F7-2D23-CA48-923B-8A4B792944CC}"/>
    <hyperlink ref="D16" r:id="rId15" xr:uid="{784BB94A-7711-6A46-AEB9-8999572C5DC7}"/>
    <hyperlink ref="D17" r:id="rId16" xr:uid="{61E05FC2-434D-FC46-85C8-F28BDE155F60}"/>
    <hyperlink ref="D18" r:id="rId17" xr:uid="{284ECDB6-06C1-BF45-9A27-062700E5ABFC}"/>
    <hyperlink ref="D19" r:id="rId18" xr:uid="{0AD3DC6E-B099-A340-B7F3-D4818A188739}"/>
    <hyperlink ref="D20" r:id="rId19" xr:uid="{2262F18C-81E9-6743-9AE9-A5161AC6BEC7}"/>
    <hyperlink ref="D21" r:id="rId20" xr:uid="{8B05BA2D-AC03-ED48-8456-8388AC0A6CD3}"/>
    <hyperlink ref="D22" r:id="rId21" xr:uid="{54D6CE82-F321-6B40-82DB-6D3D92C72F84}"/>
    <hyperlink ref="D23" r:id="rId22" xr:uid="{9369BDC6-0C10-3C42-A51D-972161A45F66}"/>
    <hyperlink ref="D24" r:id="rId23" xr:uid="{F66B9596-8E81-4240-B780-6930353DCB34}"/>
    <hyperlink ref="D25" r:id="rId24" xr:uid="{C3D33BAF-9E3D-2D43-B3B0-DE1C15A520D1}"/>
    <hyperlink ref="D26" r:id="rId25" xr:uid="{C93F96C7-B501-1F41-AA8E-17C74D138608}"/>
    <hyperlink ref="D27" r:id="rId26" xr:uid="{2CCD9D2E-30E0-8A4B-83EE-2DA8A665F2DD}"/>
    <hyperlink ref="D28" r:id="rId27" xr:uid="{CA6C5357-556D-6545-93D1-514B530399BE}"/>
    <hyperlink ref="D29" r:id="rId28" xr:uid="{B2A67AE7-79F6-094B-9871-507435D5B943}"/>
    <hyperlink ref="D30" r:id="rId29" xr:uid="{ACB3A316-1F92-EF4A-9FA4-D6F22D0327C6}"/>
    <hyperlink ref="D31" r:id="rId30" xr:uid="{140C2A6C-8D8D-0442-ABAF-026CA1A520FB}"/>
    <hyperlink ref="D32" r:id="rId31" xr:uid="{857FE252-3C09-C943-A573-DE1B7EA7E29D}"/>
  </hyperlink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FB1B7-3B23-654A-84A7-B98EF9661A5C}">
  <dimension ref="A1:L27"/>
  <sheetViews>
    <sheetView workbookViewId="0">
      <pane ySplit="1" topLeftCell="A5" activePane="bottomLeft" state="frozen"/>
      <selection pane="bottomLeft" activeCell="M11" sqref="M11"/>
    </sheetView>
  </sheetViews>
  <sheetFormatPr defaultColWidth="10.6640625" defaultRowHeight="16" x14ac:dyDescent="0.4"/>
  <cols>
    <col min="2" max="2" width="33.83203125" customWidth="1"/>
    <col min="3" max="3" width="45.83203125" customWidth="1"/>
    <col min="4" max="4" width="49.33203125" customWidth="1"/>
    <col min="5" max="5" width="15.33203125" customWidth="1"/>
    <col min="6" max="6" width="14.33203125" customWidth="1"/>
    <col min="7" max="7" width="13.83203125" customWidth="1"/>
    <col min="9" max="9" width="10.1640625" customWidth="1"/>
    <col min="10" max="12" width="10.83203125" customWidth="1"/>
  </cols>
  <sheetData>
    <row r="1" spans="1:12" ht="51" customHeight="1" x14ac:dyDescent="0.4">
      <c r="A1" s="28" t="s">
        <v>0</v>
      </c>
      <c r="B1" s="28" t="s">
        <v>1</v>
      </c>
      <c r="C1" s="28" t="s">
        <v>2</v>
      </c>
      <c r="D1" s="28" t="s">
        <v>3</v>
      </c>
      <c r="E1" s="28" t="s">
        <v>63</v>
      </c>
      <c r="F1" s="28" t="s">
        <v>64</v>
      </c>
      <c r="G1" s="28" t="s">
        <v>65</v>
      </c>
      <c r="H1" s="28" t="s">
        <v>7</v>
      </c>
      <c r="I1" s="28" t="s">
        <v>66</v>
      </c>
      <c r="J1" s="28" t="s">
        <v>196</v>
      </c>
      <c r="K1" s="28" t="s">
        <v>193</v>
      </c>
      <c r="L1" s="28" t="s">
        <v>194</v>
      </c>
    </row>
    <row r="2" spans="1:12" x14ac:dyDescent="0.4">
      <c r="A2" s="4">
        <v>1</v>
      </c>
      <c r="B2" s="4" t="s">
        <v>67</v>
      </c>
      <c r="C2" s="24" t="s">
        <v>68</v>
      </c>
      <c r="D2" s="25" t="s">
        <v>10</v>
      </c>
      <c r="E2" s="24">
        <v>29.98</v>
      </c>
      <c r="F2" s="4">
        <v>0.1845</v>
      </c>
      <c r="G2" s="5">
        <f>F2*E2/2</f>
        <v>2.7656550000000002</v>
      </c>
      <c r="H2" s="4">
        <v>1</v>
      </c>
      <c r="I2" s="5">
        <f t="shared" ref="I2:I23" si="0">H2*G2</f>
        <v>2.7656550000000002</v>
      </c>
      <c r="J2" s="4">
        <v>0</v>
      </c>
      <c r="K2" s="4">
        <f t="shared" ref="K2:K23" si="1">H2*4</f>
        <v>4</v>
      </c>
      <c r="L2" s="5">
        <f t="shared" ref="L2:L23" si="2">(IF(K2-J2&lt;0,0,K2-J2))*G2</f>
        <v>11.062620000000001</v>
      </c>
    </row>
    <row r="3" spans="1:12" ht="29" customHeight="1" x14ac:dyDescent="0.4">
      <c r="A3" s="4">
        <v>2</v>
      </c>
      <c r="B3" s="4" t="s">
        <v>69</v>
      </c>
      <c r="C3" s="22"/>
      <c r="D3" s="22"/>
      <c r="E3" s="22"/>
      <c r="F3" s="4">
        <v>0.17349999999999999</v>
      </c>
      <c r="G3" s="5">
        <f t="shared" ref="G3:G9" si="3">F3*E$2/2</f>
        <v>2.600765</v>
      </c>
      <c r="H3" s="4">
        <v>1</v>
      </c>
      <c r="I3" s="5">
        <f t="shared" si="0"/>
        <v>2.600765</v>
      </c>
      <c r="J3" s="4">
        <v>0</v>
      </c>
      <c r="K3" s="4">
        <f t="shared" si="1"/>
        <v>4</v>
      </c>
      <c r="L3" s="5">
        <f t="shared" si="2"/>
        <v>10.40306</v>
      </c>
    </row>
    <row r="4" spans="1:12" ht="26" customHeight="1" x14ac:dyDescent="0.4">
      <c r="A4" s="4">
        <v>3</v>
      </c>
      <c r="B4" s="4" t="s">
        <v>70</v>
      </c>
      <c r="C4" s="22"/>
      <c r="D4" s="22"/>
      <c r="E4" s="22"/>
      <c r="F4" s="4">
        <v>1.9900000000000001E-2</v>
      </c>
      <c r="G4" s="5">
        <f t="shared" si="3"/>
        <v>0.29830100000000004</v>
      </c>
      <c r="H4" s="4">
        <v>1</v>
      </c>
      <c r="I4" s="5">
        <f t="shared" si="0"/>
        <v>0.29830100000000004</v>
      </c>
      <c r="J4" s="4">
        <v>0</v>
      </c>
      <c r="K4" s="4">
        <f t="shared" si="1"/>
        <v>4</v>
      </c>
      <c r="L4" s="5">
        <f t="shared" si="2"/>
        <v>1.1932040000000002</v>
      </c>
    </row>
    <row r="5" spans="1:12" ht="28" customHeight="1" x14ac:dyDescent="0.4">
      <c r="A5" s="4">
        <v>4</v>
      </c>
      <c r="B5" s="4" t="s">
        <v>71</v>
      </c>
      <c r="C5" s="22"/>
      <c r="D5" s="22"/>
      <c r="E5" s="22"/>
      <c r="F5" s="4">
        <v>6.54E-2</v>
      </c>
      <c r="G5" s="5">
        <f t="shared" si="3"/>
        <v>0.98034600000000005</v>
      </c>
      <c r="H5" s="4">
        <v>1</v>
      </c>
      <c r="I5" s="5">
        <f t="shared" si="0"/>
        <v>0.98034600000000005</v>
      </c>
      <c r="J5" s="4">
        <v>0</v>
      </c>
      <c r="K5" s="4">
        <f t="shared" si="1"/>
        <v>4</v>
      </c>
      <c r="L5" s="5">
        <f t="shared" si="2"/>
        <v>3.9213840000000002</v>
      </c>
    </row>
    <row r="6" spans="1:12" ht="27.5" customHeight="1" x14ac:dyDescent="0.4">
      <c r="A6" s="4">
        <v>5</v>
      </c>
      <c r="B6" s="4" t="s">
        <v>72</v>
      </c>
      <c r="C6" s="22"/>
      <c r="D6" s="22"/>
      <c r="E6" s="22"/>
      <c r="F6" s="4">
        <v>0.18579999999999999</v>
      </c>
      <c r="G6" s="5">
        <f t="shared" si="3"/>
        <v>2.785142</v>
      </c>
      <c r="H6" s="4">
        <v>1</v>
      </c>
      <c r="I6" s="5">
        <f t="shared" si="0"/>
        <v>2.785142</v>
      </c>
      <c r="J6" s="4">
        <v>0</v>
      </c>
      <c r="K6" s="4">
        <f t="shared" si="1"/>
        <v>4</v>
      </c>
      <c r="L6" s="5">
        <f t="shared" si="2"/>
        <v>11.140568</v>
      </c>
    </row>
    <row r="7" spans="1:12" ht="28" customHeight="1" x14ac:dyDescent="0.4">
      <c r="A7" s="4">
        <v>16</v>
      </c>
      <c r="B7" s="4" t="s">
        <v>73</v>
      </c>
      <c r="C7" s="22"/>
      <c r="D7" s="22"/>
      <c r="E7" s="22"/>
      <c r="F7" s="4">
        <v>5.9299999999999999E-2</v>
      </c>
      <c r="G7" s="5">
        <f t="shared" si="3"/>
        <v>0.888907</v>
      </c>
      <c r="H7" s="4">
        <v>1</v>
      </c>
      <c r="I7" s="5">
        <f t="shared" si="0"/>
        <v>0.888907</v>
      </c>
      <c r="J7" s="4">
        <v>0</v>
      </c>
      <c r="K7" s="4">
        <f t="shared" si="1"/>
        <v>4</v>
      </c>
      <c r="L7" s="5">
        <f t="shared" si="2"/>
        <v>3.555628</v>
      </c>
    </row>
    <row r="8" spans="1:12" ht="31" customHeight="1" x14ac:dyDescent="0.4">
      <c r="A8" s="4">
        <v>17</v>
      </c>
      <c r="B8" s="4" t="s">
        <v>74</v>
      </c>
      <c r="C8" s="22"/>
      <c r="D8" s="22"/>
      <c r="E8" s="22"/>
      <c r="F8" s="4">
        <v>0.122</v>
      </c>
      <c r="G8" s="5">
        <f t="shared" si="3"/>
        <v>1.8287800000000001</v>
      </c>
      <c r="H8" s="4">
        <v>1</v>
      </c>
      <c r="I8" s="5">
        <f t="shared" si="0"/>
        <v>1.8287800000000001</v>
      </c>
      <c r="J8" s="4">
        <v>0</v>
      </c>
      <c r="K8" s="4">
        <f t="shared" si="1"/>
        <v>4</v>
      </c>
      <c r="L8" s="5">
        <f t="shared" si="2"/>
        <v>7.3151200000000003</v>
      </c>
    </row>
    <row r="9" spans="1:12" ht="20.5" customHeight="1" x14ac:dyDescent="0.4">
      <c r="A9" s="4">
        <v>18</v>
      </c>
      <c r="B9" s="4" t="s">
        <v>75</v>
      </c>
      <c r="C9" s="23"/>
      <c r="D9" s="23"/>
      <c r="E9" s="23"/>
      <c r="F9" s="4">
        <v>4.3700000000000003E-2</v>
      </c>
      <c r="G9" s="5">
        <f t="shared" si="3"/>
        <v>0.65506300000000006</v>
      </c>
      <c r="H9" s="4">
        <v>2</v>
      </c>
      <c r="I9" s="5">
        <f t="shared" si="0"/>
        <v>1.3101260000000001</v>
      </c>
      <c r="J9" s="4">
        <v>0</v>
      </c>
      <c r="K9" s="4">
        <f t="shared" si="1"/>
        <v>8</v>
      </c>
      <c r="L9" s="5">
        <f t="shared" si="2"/>
        <v>5.2405040000000005</v>
      </c>
    </row>
    <row r="10" spans="1:12" ht="24.5" customHeight="1" x14ac:dyDescent="0.4">
      <c r="A10" s="4">
        <v>20</v>
      </c>
      <c r="B10" s="4" t="s">
        <v>76</v>
      </c>
      <c r="C10" s="4" t="s">
        <v>77</v>
      </c>
      <c r="D10" s="2" t="s">
        <v>78</v>
      </c>
      <c r="E10" s="4">
        <v>8.99</v>
      </c>
      <c r="F10" s="4">
        <v>3.8800000000000001E-2</v>
      </c>
      <c r="G10" s="5">
        <v>1.3939999999999999</v>
      </c>
      <c r="H10" s="4">
        <v>1</v>
      </c>
      <c r="I10" s="5">
        <f t="shared" si="0"/>
        <v>1.3939999999999999</v>
      </c>
      <c r="J10" s="4">
        <v>0</v>
      </c>
      <c r="K10" s="4">
        <f t="shared" si="1"/>
        <v>4</v>
      </c>
      <c r="L10" s="5">
        <f t="shared" si="2"/>
        <v>5.5759999999999996</v>
      </c>
    </row>
    <row r="11" spans="1:12" ht="21" customHeight="1" x14ac:dyDescent="0.4">
      <c r="A11" s="4">
        <v>19</v>
      </c>
      <c r="B11" s="4" t="s">
        <v>79</v>
      </c>
      <c r="C11" s="4" t="s">
        <v>80</v>
      </c>
      <c r="D11" s="2" t="s">
        <v>24</v>
      </c>
      <c r="E11" s="4">
        <v>28.09</v>
      </c>
      <c r="F11" s="4">
        <v>10</v>
      </c>
      <c r="G11" s="5">
        <v>2.8090000000000002</v>
      </c>
      <c r="H11" s="4">
        <v>3</v>
      </c>
      <c r="I11" s="5">
        <f t="shared" si="0"/>
        <v>8.4269999999999996</v>
      </c>
      <c r="J11" s="4">
        <v>0</v>
      </c>
      <c r="K11" s="4">
        <f t="shared" si="1"/>
        <v>12</v>
      </c>
      <c r="L11" s="5">
        <f t="shared" si="2"/>
        <v>33.707999999999998</v>
      </c>
    </row>
    <row r="12" spans="1:12" ht="23" customHeight="1" x14ac:dyDescent="0.4">
      <c r="A12" s="4">
        <v>21</v>
      </c>
      <c r="B12" s="4" t="s">
        <v>81</v>
      </c>
      <c r="C12" s="4" t="s">
        <v>50</v>
      </c>
      <c r="D12" s="2" t="s">
        <v>51</v>
      </c>
      <c r="E12" s="4">
        <v>9.19</v>
      </c>
      <c r="F12" s="4">
        <v>100</v>
      </c>
      <c r="G12" s="5">
        <v>9.1999999999999998E-2</v>
      </c>
      <c r="H12" s="4">
        <v>12</v>
      </c>
      <c r="I12" s="5">
        <f t="shared" si="0"/>
        <v>1.1040000000000001</v>
      </c>
      <c r="J12" s="4">
        <v>0</v>
      </c>
      <c r="K12" s="4">
        <f t="shared" si="1"/>
        <v>48</v>
      </c>
      <c r="L12" s="5">
        <f t="shared" si="2"/>
        <v>4.4160000000000004</v>
      </c>
    </row>
    <row r="13" spans="1:12" ht="19.5" customHeight="1" x14ac:dyDescent="0.4">
      <c r="A13" s="4">
        <v>22</v>
      </c>
      <c r="B13" s="4" t="s">
        <v>82</v>
      </c>
      <c r="C13" s="4" t="s">
        <v>83</v>
      </c>
      <c r="D13" s="2" t="s">
        <v>206</v>
      </c>
      <c r="E13" s="4">
        <v>2.48</v>
      </c>
      <c r="F13" s="4">
        <v>5</v>
      </c>
      <c r="G13" s="5">
        <v>0.496</v>
      </c>
      <c r="H13" s="4">
        <v>2</v>
      </c>
      <c r="I13" s="5">
        <f t="shared" si="0"/>
        <v>0.99199999999999999</v>
      </c>
      <c r="J13" s="4">
        <v>9</v>
      </c>
      <c r="K13" s="4">
        <f t="shared" si="1"/>
        <v>8</v>
      </c>
      <c r="L13" s="5">
        <f t="shared" si="2"/>
        <v>0</v>
      </c>
    </row>
    <row r="14" spans="1:12" ht="20" customHeight="1" x14ac:dyDescent="0.4">
      <c r="A14" s="4">
        <v>23</v>
      </c>
      <c r="B14" s="4" t="s">
        <v>84</v>
      </c>
      <c r="C14" s="4" t="s">
        <v>85</v>
      </c>
      <c r="D14" s="2" t="s">
        <v>207</v>
      </c>
      <c r="E14" s="4">
        <v>5.99</v>
      </c>
      <c r="F14" s="4">
        <v>200</v>
      </c>
      <c r="G14" s="5">
        <f>E14/F14</f>
        <v>2.9950000000000001E-2</v>
      </c>
      <c r="H14" s="4">
        <v>24</v>
      </c>
      <c r="I14" s="5">
        <f t="shared" si="0"/>
        <v>0.71879999999999999</v>
      </c>
      <c r="J14" s="4">
        <v>0</v>
      </c>
      <c r="K14" s="4">
        <f t="shared" si="1"/>
        <v>96</v>
      </c>
      <c r="L14" s="5">
        <f t="shared" si="2"/>
        <v>2.8752</v>
      </c>
    </row>
    <row r="15" spans="1:12" ht="20" customHeight="1" x14ac:dyDescent="0.4">
      <c r="A15" s="4">
        <v>6</v>
      </c>
      <c r="B15" s="4" t="s">
        <v>86</v>
      </c>
      <c r="C15" s="4" t="s">
        <v>87</v>
      </c>
      <c r="D15" s="2" t="s">
        <v>88</v>
      </c>
      <c r="E15" s="4">
        <v>6.99</v>
      </c>
      <c r="F15" s="4">
        <v>10</v>
      </c>
      <c r="G15" s="5">
        <v>0.69899999999999995</v>
      </c>
      <c r="H15" s="4">
        <v>7</v>
      </c>
      <c r="I15" s="5">
        <f t="shared" si="0"/>
        <v>4.8929999999999998</v>
      </c>
      <c r="J15" s="4">
        <v>0</v>
      </c>
      <c r="K15" s="4">
        <f t="shared" si="1"/>
        <v>28</v>
      </c>
      <c r="L15" s="5">
        <f t="shared" si="2"/>
        <v>19.571999999999999</v>
      </c>
    </row>
    <row r="16" spans="1:12" ht="18" customHeight="1" x14ac:dyDescent="0.4">
      <c r="A16" s="4">
        <v>7</v>
      </c>
      <c r="B16" s="4" t="s">
        <v>89</v>
      </c>
      <c r="C16" s="4" t="s">
        <v>90</v>
      </c>
      <c r="D16" s="2" t="s">
        <v>91</v>
      </c>
      <c r="E16" s="4">
        <v>7.29</v>
      </c>
      <c r="F16" s="4">
        <v>50</v>
      </c>
      <c r="G16" s="5">
        <v>0.14599999999999999</v>
      </c>
      <c r="H16" s="4">
        <v>7</v>
      </c>
      <c r="I16" s="5">
        <f t="shared" si="0"/>
        <v>1.022</v>
      </c>
      <c r="J16" s="4">
        <v>19</v>
      </c>
      <c r="K16" s="4">
        <f t="shared" si="1"/>
        <v>28</v>
      </c>
      <c r="L16" s="5">
        <f t="shared" si="2"/>
        <v>1.3139999999999998</v>
      </c>
    </row>
    <row r="17" spans="1:12" ht="21.5" customHeight="1" x14ac:dyDescent="0.4">
      <c r="A17" s="4">
        <v>8</v>
      </c>
      <c r="B17" s="4" t="s">
        <v>92</v>
      </c>
      <c r="C17" s="4" t="s">
        <v>209</v>
      </c>
      <c r="D17" s="2" t="s">
        <v>208</v>
      </c>
      <c r="E17" s="4">
        <v>8.19</v>
      </c>
      <c r="F17" s="4">
        <v>100</v>
      </c>
      <c r="G17" s="5">
        <f>E17/F17</f>
        <v>8.1900000000000001E-2</v>
      </c>
      <c r="H17" s="4">
        <v>24</v>
      </c>
      <c r="I17" s="5">
        <f t="shared" si="0"/>
        <v>1.9656</v>
      </c>
      <c r="J17" s="4">
        <v>0</v>
      </c>
      <c r="K17" s="4">
        <f t="shared" si="1"/>
        <v>96</v>
      </c>
      <c r="L17" s="5">
        <f t="shared" si="2"/>
        <v>7.8624000000000001</v>
      </c>
    </row>
    <row r="18" spans="1:12" ht="23.5" customHeight="1" x14ac:dyDescent="0.4">
      <c r="A18" s="4">
        <v>9</v>
      </c>
      <c r="B18" s="4" t="s">
        <v>93</v>
      </c>
      <c r="C18" s="4" t="s">
        <v>210</v>
      </c>
      <c r="D18" s="2" t="s">
        <v>95</v>
      </c>
      <c r="E18" s="4">
        <v>12.79</v>
      </c>
      <c r="F18" s="4">
        <v>40</v>
      </c>
      <c r="G18" s="5">
        <v>0.32</v>
      </c>
      <c r="H18" s="4">
        <v>7</v>
      </c>
      <c r="I18" s="5">
        <f t="shared" si="0"/>
        <v>2.2400000000000002</v>
      </c>
      <c r="J18" s="4">
        <v>0</v>
      </c>
      <c r="K18" s="4">
        <f t="shared" si="1"/>
        <v>28</v>
      </c>
      <c r="L18" s="5">
        <f t="shared" si="2"/>
        <v>8.9600000000000009</v>
      </c>
    </row>
    <row r="19" spans="1:12" ht="24.5" customHeight="1" x14ac:dyDescent="0.4">
      <c r="A19" s="4">
        <v>10</v>
      </c>
      <c r="B19" s="4" t="s">
        <v>96</v>
      </c>
      <c r="C19" s="4" t="s">
        <v>97</v>
      </c>
      <c r="D19" s="2" t="s">
        <v>98</v>
      </c>
      <c r="E19" s="4">
        <v>8.2899999999999991</v>
      </c>
      <c r="F19" s="4">
        <v>10</v>
      </c>
      <c r="G19" s="5">
        <v>0.82899999999999996</v>
      </c>
      <c r="H19" s="4">
        <v>5</v>
      </c>
      <c r="I19" s="5">
        <f t="shared" si="0"/>
        <v>4.1449999999999996</v>
      </c>
      <c r="J19" s="4">
        <v>8</v>
      </c>
      <c r="K19" s="4">
        <f t="shared" si="1"/>
        <v>20</v>
      </c>
      <c r="L19" s="5">
        <f t="shared" si="2"/>
        <v>9.9480000000000004</v>
      </c>
    </row>
    <row r="20" spans="1:12" ht="19" customHeight="1" x14ac:dyDescent="0.4">
      <c r="A20" s="4">
        <v>11</v>
      </c>
      <c r="B20" s="4" t="s">
        <v>99</v>
      </c>
      <c r="C20" s="4" t="s">
        <v>100</v>
      </c>
      <c r="D20" s="2" t="s">
        <v>211</v>
      </c>
      <c r="E20" s="4">
        <v>8.69</v>
      </c>
      <c r="F20" s="4">
        <v>8</v>
      </c>
      <c r="G20" s="5">
        <f>E20/F20</f>
        <v>1.0862499999999999</v>
      </c>
      <c r="H20" s="4">
        <v>1</v>
      </c>
      <c r="I20" s="5">
        <f t="shared" si="0"/>
        <v>1.0862499999999999</v>
      </c>
      <c r="J20" s="4">
        <v>0</v>
      </c>
      <c r="K20" s="4">
        <f t="shared" si="1"/>
        <v>4</v>
      </c>
      <c r="L20" s="5">
        <f t="shared" si="2"/>
        <v>4.3449999999999998</v>
      </c>
    </row>
    <row r="21" spans="1:12" ht="20.5" customHeight="1" x14ac:dyDescent="0.4">
      <c r="A21" s="4">
        <v>12</v>
      </c>
      <c r="B21" s="4" t="s">
        <v>101</v>
      </c>
      <c r="C21" s="4" t="s">
        <v>102</v>
      </c>
      <c r="D21" s="2" t="s">
        <v>212</v>
      </c>
      <c r="E21" s="4">
        <v>6.29</v>
      </c>
      <c r="F21" s="4">
        <v>100</v>
      </c>
      <c r="G21" s="5">
        <f>E21/F21</f>
        <v>6.2899999999999998E-2</v>
      </c>
      <c r="H21" s="4">
        <v>3</v>
      </c>
      <c r="I21" s="5">
        <f t="shared" si="0"/>
        <v>0.18869999999999998</v>
      </c>
      <c r="J21" s="4">
        <v>40</v>
      </c>
      <c r="K21" s="4">
        <f t="shared" si="1"/>
        <v>12</v>
      </c>
      <c r="L21" s="5">
        <f>(IF(K21-J21&lt;0,0,K21-J21))*G21</f>
        <v>0</v>
      </c>
    </row>
    <row r="22" spans="1:12" ht="23.5" customHeight="1" x14ac:dyDescent="0.4">
      <c r="A22" s="4">
        <v>14</v>
      </c>
      <c r="B22" s="4" t="s">
        <v>103</v>
      </c>
      <c r="C22" s="4" t="s">
        <v>94</v>
      </c>
      <c r="D22" s="2" t="s">
        <v>104</v>
      </c>
      <c r="E22" s="4">
        <v>13.29</v>
      </c>
      <c r="F22" s="4">
        <v>40</v>
      </c>
      <c r="G22" s="5">
        <f>E22/F22</f>
        <v>0.33224999999999999</v>
      </c>
      <c r="H22" s="4">
        <v>3</v>
      </c>
      <c r="I22" s="5">
        <f t="shared" si="0"/>
        <v>0.99675000000000002</v>
      </c>
      <c r="J22" s="4">
        <v>10</v>
      </c>
      <c r="K22" s="4">
        <f t="shared" si="1"/>
        <v>12</v>
      </c>
      <c r="L22" s="5">
        <f t="shared" si="2"/>
        <v>0.66449999999999998</v>
      </c>
    </row>
    <row r="23" spans="1:12" ht="21" customHeight="1" x14ac:dyDescent="0.4">
      <c r="A23" s="4">
        <v>15</v>
      </c>
      <c r="B23" s="4" t="s">
        <v>214</v>
      </c>
      <c r="C23" s="4" t="s">
        <v>105</v>
      </c>
      <c r="D23" s="2" t="s">
        <v>213</v>
      </c>
      <c r="E23" s="4">
        <v>7.39</v>
      </c>
      <c r="F23" s="4">
        <v>50</v>
      </c>
      <c r="G23" s="5">
        <f>E23/F23</f>
        <v>0.14779999999999999</v>
      </c>
      <c r="H23" s="4">
        <v>18</v>
      </c>
      <c r="I23" s="5">
        <f t="shared" si="0"/>
        <v>2.6603999999999997</v>
      </c>
      <c r="J23" s="4">
        <v>0</v>
      </c>
      <c r="K23" s="4">
        <f t="shared" si="1"/>
        <v>72</v>
      </c>
      <c r="L23" s="5">
        <f t="shared" si="2"/>
        <v>10.641599999999999</v>
      </c>
    </row>
    <row r="24" spans="1:12" s="41" customFormat="1" ht="33" customHeight="1" x14ac:dyDescent="0.4">
      <c r="A24" s="53" t="s">
        <v>55</v>
      </c>
      <c r="B24" s="54"/>
      <c r="C24" s="54"/>
      <c r="D24" s="54"/>
      <c r="E24" s="54"/>
      <c r="F24" s="54"/>
      <c r="G24" s="54"/>
      <c r="H24" s="55"/>
      <c r="I24" s="56">
        <f>SUM(I2:I23)</f>
        <v>45.291522000000008</v>
      </c>
      <c r="J24" s="53" t="s">
        <v>195</v>
      </c>
      <c r="K24" s="55"/>
      <c r="L24" s="56">
        <f>SUM(L2:L23)</f>
        <v>163.71478800000003</v>
      </c>
    </row>
    <row r="27" spans="1:12" x14ac:dyDescent="0.4">
      <c r="J27" s="13"/>
      <c r="K27" s="13"/>
      <c r="L27" s="14"/>
    </row>
  </sheetData>
  <mergeCells count="5">
    <mergeCell ref="E2:E9"/>
    <mergeCell ref="D2:D9"/>
    <mergeCell ref="C2:C9"/>
    <mergeCell ref="A24:H24"/>
    <mergeCell ref="J24:K24"/>
  </mergeCells>
  <conditionalFormatting sqref="A2:L2 A3:B9 F3:J9 K3:L23 A10:J23">
    <cfRule type="expression" dxfId="0" priority="1">
      <formula>MOD(ROW(),2)</formula>
    </cfRule>
  </conditionalFormatting>
  <hyperlinks>
    <hyperlink ref="D2" r:id="rId1" xr:uid="{8BBB6A3E-A473-3B4E-9FBC-1CEBEAA73F47}"/>
    <hyperlink ref="D10" r:id="rId2" xr:uid="{9CED9974-D344-1240-A40E-58290B9B5D8F}"/>
    <hyperlink ref="D11" r:id="rId3" xr:uid="{DB928058-A94C-0D42-992B-70DCBC946E5C}"/>
    <hyperlink ref="D12" r:id="rId4" xr:uid="{91E74018-89BB-4442-95FC-737D0DE5CD7E}"/>
    <hyperlink ref="D13" r:id="rId5" xr:uid="{D8F65531-2BF0-654F-BC30-35A440B66D57}"/>
    <hyperlink ref="D14" r:id="rId6" xr:uid="{70FA685D-E1F8-AA4D-A9BE-F0E819D7552E}"/>
    <hyperlink ref="D15" r:id="rId7" xr:uid="{B52DB144-B68E-8946-A185-77F171944887}"/>
    <hyperlink ref="D16" r:id="rId8" xr:uid="{0AD888AF-64A6-0941-A43C-E5D405C82E18}"/>
    <hyperlink ref="D17" r:id="rId9" xr:uid="{91223EBD-DA16-6141-B02E-82C5B97D21D3}"/>
    <hyperlink ref="D18" r:id="rId10" xr:uid="{69D71C1C-F146-1347-A3BB-945824BEDAD4}"/>
    <hyperlink ref="D19" r:id="rId11" xr:uid="{8AF02770-5A1E-0D4F-943E-F280C0374B4B}"/>
    <hyperlink ref="D20" r:id="rId12" xr:uid="{A0CCE2EF-4874-9846-A3B1-3CBF7FA70805}"/>
    <hyperlink ref="D21" r:id="rId13" xr:uid="{E37256A4-CC0F-804E-A6E9-D20623DDBEEE}"/>
    <hyperlink ref="D22" r:id="rId14" xr:uid="{E3588641-4442-5448-ABE4-7F1C5B716318}"/>
    <hyperlink ref="D23" r:id="rId15" xr:uid="{B6D7B57A-C95F-F242-8A08-AFDE910F26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 Price</vt:lpstr>
      <vt:lpstr>Body Assembly</vt:lpstr>
      <vt:lpstr>Cycloidal Gearbox</vt:lpstr>
      <vt:lpstr>FOC PCB</vt:lpstr>
      <vt:lpstr>Leg 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Robinson</dc:creator>
  <cp:lastModifiedBy>jiale jiang</cp:lastModifiedBy>
  <dcterms:created xsi:type="dcterms:W3CDTF">2026-02-13T07:51:51Z</dcterms:created>
  <dcterms:modified xsi:type="dcterms:W3CDTF">2026-04-21T09:10:28Z</dcterms:modified>
</cp:coreProperties>
</file>